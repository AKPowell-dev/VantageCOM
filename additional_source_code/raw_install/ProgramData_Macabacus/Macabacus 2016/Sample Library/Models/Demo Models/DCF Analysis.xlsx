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N MACGREGOR\Documents\"/>
    </mc:Choice>
  </mc:AlternateContent>
  <bookViews>
    <workbookView xWindow="120" yWindow="60" windowWidth="17880" windowHeight="13035"/>
  </bookViews>
  <sheets>
    <sheet name="DCF" sheetId="12" r:id="rId1"/>
  </sheets>
  <definedNames>
    <definedName name="_tags1" localSheetId="0" hidden="1">"&lt;tags&gt;&lt;tag n=""Palette"" v=""3"" /&gt;&lt;tag n=""ClosestPalette"" v=""3"" /&gt;&lt;/tags&gt;"</definedName>
  </definedNames>
  <calcPr calcId="152511" calcMode="autoNoTable" iterate="1" calcOnSave="0"/>
</workbook>
</file>

<file path=xl/calcChain.xml><?xml version="1.0" encoding="utf-8"?>
<calcChain xmlns="http://schemas.openxmlformats.org/spreadsheetml/2006/main">
  <c r="H7" i="12" l="1"/>
  <c r="I7" i="12" s="1"/>
  <c r="J7" i="12" s="1"/>
  <c r="K7" i="12" s="1"/>
  <c r="L7" i="12" s="1"/>
  <c r="M7" i="12" s="1"/>
  <c r="N7" i="12" s="1"/>
  <c r="O7" i="12" s="1"/>
  <c r="P7" i="12" s="1"/>
  <c r="H10" i="12"/>
  <c r="I10" i="12"/>
  <c r="J10" i="12"/>
  <c r="K10" i="12"/>
  <c r="L10" i="12"/>
  <c r="M10" i="12"/>
  <c r="N10" i="12"/>
  <c r="O10" i="12"/>
  <c r="P10" i="12"/>
  <c r="G10" i="12"/>
  <c r="F34" i="12" l="1"/>
  <c r="F40" i="12"/>
  <c r="B39" i="12"/>
  <c r="B33" i="12"/>
  <c r="K78" i="12" l="1"/>
  <c r="J78" i="12"/>
  <c r="I78" i="12"/>
  <c r="G78" i="12"/>
  <c r="F78" i="12"/>
  <c r="E78" i="12"/>
  <c r="E77" i="12"/>
  <c r="I77" i="12" s="1"/>
  <c r="K71" i="12"/>
  <c r="J71" i="12"/>
  <c r="I71" i="12"/>
  <c r="I70" i="12"/>
  <c r="G59" i="12"/>
  <c r="F59" i="12"/>
  <c r="E59" i="12"/>
  <c r="K59" i="12"/>
  <c r="J59" i="12"/>
  <c r="I59" i="12"/>
  <c r="E58" i="12"/>
  <c r="I58" i="12" s="1"/>
  <c r="K52" i="12"/>
  <c r="J52" i="12"/>
  <c r="I52" i="12"/>
  <c r="I51" i="12"/>
  <c r="C53" i="12" l="1"/>
  <c r="C61" i="12"/>
  <c r="C73" i="12"/>
  <c r="C80" i="12"/>
  <c r="C55" i="12"/>
  <c r="C74" i="12" l="1"/>
  <c r="C81" i="12"/>
  <c r="C62" i="12"/>
  <c r="C79" i="12"/>
  <c r="C60" i="12"/>
  <c r="C72" i="12"/>
  <c r="K33" i="12" l="1"/>
  <c r="H23" i="12" l="1"/>
  <c r="I23" i="12" l="1"/>
  <c r="J23" i="12" l="1"/>
  <c r="K23" i="12" l="1"/>
  <c r="L23" i="12" l="1"/>
  <c r="N23" i="12" l="1"/>
  <c r="M23" i="12"/>
  <c r="P23" i="12" l="1"/>
  <c r="O23" i="12"/>
  <c r="H24" i="12" l="1"/>
  <c r="I24" i="12"/>
  <c r="J24" i="12"/>
  <c r="K24" i="12"/>
  <c r="L24" i="12"/>
  <c r="M24" i="12"/>
  <c r="N24" i="12"/>
  <c r="O24" i="12"/>
  <c r="P24" i="12"/>
  <c r="G23" i="12" l="1"/>
  <c r="G24" i="12" l="1"/>
  <c r="G29" i="12" l="1"/>
  <c r="G34" i="12" s="1"/>
  <c r="H29" i="12"/>
  <c r="H40" i="12" s="1"/>
  <c r="I29" i="12"/>
  <c r="J29" i="12"/>
  <c r="K29" i="12"/>
  <c r="K39" i="12" s="1"/>
  <c r="K40" i="12" s="1"/>
  <c r="L29" i="12"/>
  <c r="M29" i="12"/>
  <c r="N29" i="12"/>
  <c r="O29" i="12"/>
  <c r="P29" i="12"/>
  <c r="H34" i="12"/>
  <c r="E60" i="12"/>
  <c r="F61" i="12"/>
  <c r="G62" i="12"/>
  <c r="E80" i="12"/>
  <c r="F81" i="12"/>
  <c r="K34" i="12" l="1"/>
  <c r="E81" i="12"/>
  <c r="G79" i="12"/>
  <c r="F62" i="12"/>
  <c r="E61" i="12"/>
  <c r="F55" i="12"/>
  <c r="J55" i="12" s="1"/>
  <c r="J62" i="12" s="1"/>
  <c r="G80" i="12"/>
  <c r="F79" i="12"/>
  <c r="E62" i="12"/>
  <c r="G60" i="12"/>
  <c r="G40" i="12"/>
  <c r="G81" i="12"/>
  <c r="F80" i="12"/>
  <c r="E79" i="12"/>
  <c r="G61" i="12"/>
  <c r="F60" i="12"/>
  <c r="F74" i="12"/>
  <c r="J74" i="12" s="1"/>
  <c r="J81" i="12" s="1"/>
  <c r="E54" i="12"/>
  <c r="I54" i="12" s="1"/>
  <c r="I61" i="12" s="1"/>
  <c r="G55" i="12"/>
  <c r="K55" i="12" s="1"/>
  <c r="K62" i="12" s="1"/>
  <c r="E73" i="12"/>
  <c r="I73" i="12" s="1"/>
  <c r="I80" i="12" s="1"/>
  <c r="F72" i="12"/>
  <c r="J72" i="12" s="1"/>
  <c r="J79" i="12" s="1"/>
  <c r="F53" i="12"/>
  <c r="J53" i="12" s="1"/>
  <c r="J60" i="12" s="1"/>
  <c r="G74" i="12"/>
  <c r="K74" i="12" s="1"/>
  <c r="K81" i="12" s="1"/>
  <c r="G53" i="12"/>
  <c r="K53" i="12" s="1"/>
  <c r="K60" i="12" s="1"/>
  <c r="G72" i="12"/>
  <c r="K72" i="12" s="1"/>
  <c r="K79" i="12" s="1"/>
  <c r="J34" i="12"/>
  <c r="J40" i="12"/>
  <c r="I34" i="12"/>
  <c r="I40" i="12"/>
  <c r="F54" i="12"/>
  <c r="J54" i="12" s="1"/>
  <c r="J61" i="12" s="1"/>
  <c r="F73" i="12"/>
  <c r="J73" i="12" s="1"/>
  <c r="J80" i="12" s="1"/>
  <c r="E53" i="12"/>
  <c r="I53" i="12" s="1"/>
  <c r="I60" i="12" s="1"/>
  <c r="G54" i="12"/>
  <c r="K54" i="12" s="1"/>
  <c r="K61" i="12" s="1"/>
  <c r="E55" i="12"/>
  <c r="I55" i="12" s="1"/>
  <c r="I62" i="12" s="1"/>
  <c r="E72" i="12"/>
  <c r="I72" i="12" s="1"/>
  <c r="I79" i="12" s="1"/>
  <c r="G73" i="12"/>
  <c r="K73" i="12" s="1"/>
  <c r="K80" i="12" s="1"/>
  <c r="E74" i="12"/>
  <c r="I74" i="12" s="1"/>
  <c r="I81" i="12" s="1"/>
  <c r="F42" i="12" l="1"/>
  <c r="F43" i="12" s="1"/>
  <c r="F36" i="12"/>
  <c r="F37" i="12" s="1"/>
</calcChain>
</file>

<file path=xl/sharedStrings.xml><?xml version="1.0" encoding="utf-8"?>
<sst xmlns="http://schemas.openxmlformats.org/spreadsheetml/2006/main" count="57" uniqueCount="43">
  <si>
    <t>($ in millions, except per share data)</t>
  </si>
  <si>
    <t>EBITDA</t>
  </si>
  <si>
    <t>EBITA</t>
  </si>
  <si>
    <t>Terminal EBITDA Multiple</t>
  </si>
  <si>
    <t>Discount</t>
  </si>
  <si>
    <t>Rate</t>
  </si>
  <si>
    <t>(WACC)</t>
  </si>
  <si>
    <t>Implied Perpetuity Growth Rate</t>
  </si>
  <si>
    <t>Terminal Perpetuity Growth Rate</t>
  </si>
  <si>
    <t>Implied Terminal EBITDA Multiple</t>
  </si>
  <si>
    <t>Ending</t>
  </si>
  <si>
    <t>Net debt</t>
  </si>
  <si>
    <t>Tax rate</t>
  </si>
  <si>
    <t>( – ) Taxes</t>
  </si>
  <si>
    <t>( + ) Depreciation</t>
  </si>
  <si>
    <t>Unlevered net income</t>
  </si>
  <si>
    <t>( – ) Capital expenditures</t>
  </si>
  <si>
    <t>( – ) Change in working capital</t>
  </si>
  <si>
    <t>( – ) Change in deferred taxes</t>
  </si>
  <si>
    <t>Unlevered free cash flow</t>
  </si>
  <si>
    <t>Cumulative fractional years from close</t>
  </si>
  <si>
    <t>Check that XNPV yields same result as formulas below</t>
  </si>
  <si>
    <t>DCF Sensitivity – EBITDA Multiple Method</t>
  </si>
  <si>
    <t>DCF Sensitivity – Perpetuity Growth Method</t>
  </si>
  <si>
    <t>Enterprise Value</t>
  </si>
  <si>
    <t>Equity Value</t>
  </si>
  <si>
    <t>DCF valuation (XNPV) – EBITDA multiple method</t>
  </si>
  <si>
    <t>DCF valuation (XNPV) – perpetuity growth method</t>
  </si>
  <si>
    <t>Total cash flow – EBITDA multiple method</t>
  </si>
  <si>
    <t>Total cash flow – perpetuity growth method</t>
  </si>
  <si>
    <t>Unlevered Free Cash Flow (UFCF)</t>
  </si>
  <si>
    <t>DCF Valuation – XNPV Method</t>
  </si>
  <si>
    <t>Value Per Share</t>
  </si>
  <si>
    <t>Fractional years per period</t>
  </si>
  <si>
    <t>Discounted Cash Flow (DCF) Analysis</t>
  </si>
  <si>
    <t>Today</t>
  </si>
  <si>
    <t>3 Quarters</t>
  </si>
  <si>
    <t>Projected Fiscal Years Ending September 30,</t>
  </si>
  <si>
    <t>Assumptions</t>
  </si>
  <si>
    <t>Fully diluted shares outstanding</t>
  </si>
  <si>
    <t>NOTE:  Enterprise value can be computed more simply using TABLEs sensitizing the XNPV result to the WACC and terminal multiple, but TABLEs were purposefully avoided to illustrate how this sensitivity</t>
  </si>
  <si>
    <t>can be performed without TABLEs, which are slow to calculate.</t>
  </si>
  <si>
    <t>NOTE:  Enterprise value can be computed more simply using TABLEs sensitizing the XNPV result to the WACC and terminal growth rate, but TABLEs were purposefully avoided to illustrate how this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</si>
</sst>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7" formatCode="&quot;$&quot;#,##0.00_);\(&quot;$&quot;#,##0.00\)"/>
    <numFmt numFmtId="8" formatCode="&quot;$&quot;#,##0.00_);[Red]\(&quot;$&quot;#,##0.00\)"/>
    <numFmt numFmtId="164" formatCode="0.0%_);\(0.0%\);0.0%_);@_)"/>
    <numFmt numFmtId="165" formatCode="&quot;Year &quot;0"/>
    <numFmt numFmtId="166" formatCode="0&quot; mos.&quot;"/>
    <numFmt numFmtId="167" formatCode="_(&quot;$&quot;#,##0.0_)_%;_(\(&quot;$&quot;#,##0.0\)_%;_(&quot;–&quot;_)_%;@_(_%"/>
    <numFmt numFmtId="168" formatCode="_(#,##0.0_)_%;_(\(#,##0.0\)_%;_(&quot;–&quot;_)_%;@_(_%"/>
    <numFmt numFmtId="169" formatCode="_(0.0%_);\(0.0%\);_(&quot;–&quot;_)_%;@_(_%"/>
    <numFmt numFmtId="170" formatCode="_(#,##0.000_)_%;_(\(#,##0.000\)_%;_(&quot;–&quot;_)_%;@_(_%"/>
    <numFmt numFmtId="171" formatCode="_(&quot;$&quot;#,##0.00_)_%;_(\(&quot;$&quot;#,##0.00\)_%;_(&quot;–&quot;_)_%;@_(_%"/>
    <numFmt numFmtId="172" formatCode="_(#,##0.00_)_%;_(\(#,##0.00\)_%;_(&quot;–&quot;_)_%;@_(_%"/>
    <numFmt numFmtId="173" formatCode="m/d/yy;@"/>
    <numFmt numFmtId="174" formatCode="yyyy"/>
    <numFmt numFmtId="175" formatCode="_(0.0\x_)_)_';_(\(0.0\x\)_'_';_(&quot;–&quot;_)_%;@_(_%"/>
    <numFmt numFmtId="176" formatCode="_(0.0\x_)_);_(\(0.0\x\);_(&quot;–&quot;_)_%;@_(_%"/>
  </numFmts>
  <fonts count="23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color indexed="12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8"/>
      <color indexed="8"/>
      <name val="Arial"/>
      <family val="2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1F497D"/>
      <name val="Calibri"/>
      <family val="2"/>
      <scheme val="minor"/>
    </font>
    <font>
      <i/>
      <sz val="10"/>
      <color rgb="FFC00000"/>
      <name val="Calibri"/>
      <family val="2"/>
      <scheme val="minor"/>
    </font>
    <font>
      <b/>
      <sz val="16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4E9"/>
        <bgColor indexed="64"/>
      </patternFill>
    </fill>
    <fill>
      <patternFill patternType="solid">
        <fgColor rgb="FFECEBE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C2D1"/>
      </left>
      <right/>
      <top style="thin">
        <color rgb="FFB2C2D1"/>
      </top>
      <bottom style="thin">
        <color rgb="FFB2C2D1"/>
      </bottom>
      <diagonal/>
    </border>
    <border>
      <left/>
      <right/>
      <top style="thin">
        <color rgb="FFB2C2D1"/>
      </top>
      <bottom style="thin">
        <color rgb="FFB2C2D1"/>
      </bottom>
      <diagonal/>
    </border>
    <border>
      <left/>
      <right style="thin">
        <color rgb="FFB2C2D1"/>
      </right>
      <top style="thin">
        <color rgb="FFB2C2D1"/>
      </top>
      <bottom style="thin">
        <color rgb="FFB2C2D1"/>
      </bottom>
      <diagonal/>
    </border>
    <border>
      <left/>
      <right/>
      <top/>
      <bottom style="medium">
        <color rgb="FF000000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8" fillId="0" borderId="17" applyNumberFormat="0" applyFill="0" applyAlignment="0" applyProtection="0"/>
    <xf numFmtId="0" fontId="19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0" applyFont="1"/>
    <xf numFmtId="164" fontId="5" fillId="0" borderId="0" xfId="0" applyNumberFormat="1" applyFont="1"/>
    <xf numFmtId="0" fontId="2" fillId="0" borderId="0" xfId="0" applyFont="1" applyBorder="1"/>
    <xf numFmtId="164" fontId="8" fillId="0" borderId="0" xfId="0" applyNumberFormat="1" applyFon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168" fontId="2" fillId="0" borderId="2" xfId="0" applyNumberFormat="1" applyFont="1" applyBorder="1" applyAlignment="1">
      <alignment vertical="center"/>
    </xf>
    <xf numFmtId="168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7" fontId="2" fillId="0" borderId="2" xfId="0" applyNumberFormat="1" applyFont="1" applyBorder="1" applyAlignment="1">
      <alignment vertical="center"/>
    </xf>
    <xf numFmtId="0" fontId="15" fillId="0" borderId="0" xfId="0" applyFont="1"/>
    <xf numFmtId="164" fontId="8" fillId="0" borderId="0" xfId="0" applyNumberFormat="1" applyFont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72" fontId="2" fillId="0" borderId="0" xfId="0" applyNumberFormat="1" applyFont="1" applyAlignment="1">
      <alignment vertical="center"/>
    </xf>
    <xf numFmtId="168" fontId="12" fillId="0" borderId="0" xfId="0" applyNumberFormat="1" applyFont="1" applyAlignment="1">
      <alignment vertical="center"/>
    </xf>
    <xf numFmtId="172" fontId="12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7" fontId="12" fillId="0" borderId="0" xfId="0" applyNumberFormat="1" applyFont="1" applyAlignment="1">
      <alignment vertical="center"/>
    </xf>
    <xf numFmtId="169" fontId="10" fillId="0" borderId="0" xfId="0" applyNumberFormat="1" applyFont="1" applyAlignment="1">
      <alignment vertical="center"/>
    </xf>
    <xf numFmtId="169" fontId="13" fillId="0" borderId="0" xfId="0" applyNumberFormat="1" applyFont="1" applyAlignment="1">
      <alignment vertical="center"/>
    </xf>
    <xf numFmtId="170" fontId="12" fillId="0" borderId="0" xfId="0" applyNumberFormat="1" applyFont="1" applyAlignment="1">
      <alignment vertical="center"/>
    </xf>
    <xf numFmtId="0" fontId="2" fillId="0" borderId="8" xfId="0" applyFont="1" applyFill="1" applyBorder="1"/>
    <xf numFmtId="169" fontId="8" fillId="3" borderId="0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164" fontId="8" fillId="0" borderId="2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centerContinuous" vertical="center"/>
    </xf>
    <xf numFmtId="167" fontId="2" fillId="0" borderId="0" xfId="0" applyNumberFormat="1" applyFont="1" applyBorder="1" applyAlignment="1">
      <alignment vertical="center"/>
    </xf>
    <xf numFmtId="176" fontId="4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169" fontId="10" fillId="0" borderId="0" xfId="0" applyNumberFormat="1" applyFont="1" applyFill="1" applyBorder="1" applyAlignment="1">
      <alignment vertical="center"/>
    </xf>
    <xf numFmtId="169" fontId="13" fillId="0" borderId="0" xfId="0" applyNumberFormat="1" applyFont="1" applyFill="1" applyBorder="1" applyAlignment="1">
      <alignment vertical="center"/>
    </xf>
    <xf numFmtId="167" fontId="9" fillId="3" borderId="0" xfId="0" applyNumberFormat="1" applyFont="1" applyFill="1" applyBorder="1" applyAlignment="1">
      <alignment horizontal="right" vertical="center"/>
    </xf>
    <xf numFmtId="171" fontId="9" fillId="3" borderId="0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75" fontId="9" fillId="3" borderId="0" xfId="0" applyNumberFormat="1" applyFont="1" applyFill="1" applyBorder="1" applyAlignment="1">
      <alignment vertical="center"/>
    </xf>
    <xf numFmtId="167" fontId="9" fillId="3" borderId="9" xfId="0" applyNumberFormat="1" applyFont="1" applyFill="1" applyBorder="1" applyAlignment="1">
      <alignment horizontal="right" vertical="center"/>
    </xf>
    <xf numFmtId="167" fontId="9" fillId="3" borderId="2" xfId="0" applyNumberFormat="1" applyFont="1" applyFill="1" applyBorder="1" applyAlignment="1">
      <alignment horizontal="right" vertical="center"/>
    </xf>
    <xf numFmtId="167" fontId="9" fillId="3" borderId="10" xfId="0" applyNumberFormat="1" applyFont="1" applyFill="1" applyBorder="1" applyAlignment="1">
      <alignment horizontal="right" vertical="center"/>
    </xf>
    <xf numFmtId="167" fontId="9" fillId="3" borderId="11" xfId="0" applyNumberFormat="1" applyFont="1" applyFill="1" applyBorder="1" applyAlignment="1">
      <alignment horizontal="right" vertical="center"/>
    </xf>
    <xf numFmtId="167" fontId="9" fillId="3" borderId="12" xfId="0" applyNumberFormat="1" applyFont="1" applyFill="1" applyBorder="1" applyAlignment="1">
      <alignment horizontal="right" vertical="center"/>
    </xf>
    <xf numFmtId="167" fontId="9" fillId="3" borderId="13" xfId="0" applyNumberFormat="1" applyFont="1" applyFill="1" applyBorder="1" applyAlignment="1">
      <alignment horizontal="right" vertical="center"/>
    </xf>
    <xf numFmtId="167" fontId="9" fillId="3" borderId="14" xfId="0" applyNumberFormat="1" applyFont="1" applyFill="1" applyBorder="1" applyAlignment="1">
      <alignment horizontal="right" vertical="center"/>
    </xf>
    <xf numFmtId="167" fontId="9" fillId="3" borderId="15" xfId="0" applyNumberFormat="1" applyFont="1" applyFill="1" applyBorder="1" applyAlignment="1">
      <alignment horizontal="right" vertical="center"/>
    </xf>
    <xf numFmtId="8" fontId="9" fillId="0" borderId="0" xfId="0" applyNumberFormat="1" applyFont="1" applyFill="1" applyBorder="1" applyAlignment="1">
      <alignment vertical="center"/>
    </xf>
    <xf numFmtId="8" fontId="9" fillId="0" borderId="0" xfId="0" applyNumberFormat="1" applyFont="1" applyAlignment="1">
      <alignment vertical="center"/>
    </xf>
    <xf numFmtId="167" fontId="16" fillId="3" borderId="4" xfId="0" applyNumberFormat="1" applyFont="1" applyFill="1" applyBorder="1" applyAlignment="1">
      <alignment vertical="center"/>
    </xf>
    <xf numFmtId="167" fontId="3" fillId="3" borderId="4" xfId="0" applyNumberFormat="1" applyFont="1" applyFill="1" applyBorder="1" applyAlignment="1">
      <alignment vertical="center"/>
    </xf>
    <xf numFmtId="167" fontId="6" fillId="3" borderId="0" xfId="0" applyNumberFormat="1" applyFont="1" applyFill="1" applyBorder="1" applyAlignment="1">
      <alignment horizontal="right" vertical="center"/>
    </xf>
    <xf numFmtId="7" fontId="3" fillId="0" borderId="0" xfId="0" applyNumberFormat="1" applyFont="1" applyAlignment="1">
      <alignment vertical="center"/>
    </xf>
    <xf numFmtId="169" fontId="8" fillId="3" borderId="9" xfId="0" applyNumberFormat="1" applyFont="1" applyFill="1" applyBorder="1" applyAlignment="1">
      <alignment vertical="center"/>
    </xf>
    <xf numFmtId="169" fontId="8" fillId="3" borderId="2" xfId="0" applyNumberFormat="1" applyFont="1" applyFill="1" applyBorder="1" applyAlignment="1">
      <alignment vertical="center"/>
    </xf>
    <xf numFmtId="169" fontId="8" fillId="3" borderId="10" xfId="0" applyNumberFormat="1" applyFont="1" applyFill="1" applyBorder="1" applyAlignment="1">
      <alignment vertical="center"/>
    </xf>
    <xf numFmtId="169" fontId="8" fillId="3" borderId="11" xfId="0" applyNumberFormat="1" applyFont="1" applyFill="1" applyBorder="1" applyAlignment="1">
      <alignment vertical="center"/>
    </xf>
    <xf numFmtId="169" fontId="8" fillId="3" borderId="12" xfId="0" applyNumberFormat="1" applyFont="1" applyFill="1" applyBorder="1" applyAlignment="1">
      <alignment vertical="center"/>
    </xf>
    <xf numFmtId="169" fontId="8" fillId="3" borderId="13" xfId="0" applyNumberFormat="1" applyFont="1" applyFill="1" applyBorder="1" applyAlignment="1">
      <alignment vertical="center"/>
    </xf>
    <xf numFmtId="169" fontId="8" fillId="3" borderId="14" xfId="0" applyNumberFormat="1" applyFont="1" applyFill="1" applyBorder="1" applyAlignment="1">
      <alignment vertical="center"/>
    </xf>
    <xf numFmtId="169" fontId="8" fillId="3" borderId="15" xfId="0" applyNumberFormat="1" applyFont="1" applyFill="1" applyBorder="1" applyAlignment="1">
      <alignment vertical="center"/>
    </xf>
    <xf numFmtId="171" fontId="9" fillId="3" borderId="9" xfId="0" applyNumberFormat="1" applyFont="1" applyFill="1" applyBorder="1" applyAlignment="1">
      <alignment vertical="center"/>
    </xf>
    <xf numFmtId="171" fontId="9" fillId="3" borderId="2" xfId="0" applyNumberFormat="1" applyFont="1" applyFill="1" applyBorder="1" applyAlignment="1">
      <alignment vertical="center"/>
    </xf>
    <xf numFmtId="171" fontId="9" fillId="3" borderId="10" xfId="0" applyNumberFormat="1" applyFont="1" applyFill="1" applyBorder="1" applyAlignment="1">
      <alignment vertical="center"/>
    </xf>
    <xf numFmtId="171" fontId="9" fillId="3" borderId="11" xfId="0" applyNumberFormat="1" applyFont="1" applyFill="1" applyBorder="1" applyAlignment="1">
      <alignment vertical="center"/>
    </xf>
    <xf numFmtId="171" fontId="9" fillId="3" borderId="12" xfId="0" applyNumberFormat="1" applyFont="1" applyFill="1" applyBorder="1" applyAlignment="1">
      <alignment vertical="center"/>
    </xf>
    <xf numFmtId="171" fontId="9" fillId="3" borderId="13" xfId="0" applyNumberFormat="1" applyFont="1" applyFill="1" applyBorder="1" applyAlignment="1">
      <alignment vertical="center"/>
    </xf>
    <xf numFmtId="171" fontId="9" fillId="3" borderId="14" xfId="0" applyNumberFormat="1" applyFont="1" applyFill="1" applyBorder="1" applyAlignment="1">
      <alignment vertical="center"/>
    </xf>
    <xf numFmtId="171" fontId="9" fillId="3" borderId="15" xfId="0" applyNumberFormat="1" applyFont="1" applyFill="1" applyBorder="1" applyAlignment="1">
      <alignment vertical="center"/>
    </xf>
    <xf numFmtId="175" fontId="9" fillId="3" borderId="9" xfId="0" applyNumberFormat="1" applyFont="1" applyFill="1" applyBorder="1" applyAlignment="1">
      <alignment vertical="center"/>
    </xf>
    <xf numFmtId="175" fontId="9" fillId="3" borderId="2" xfId="0" applyNumberFormat="1" applyFont="1" applyFill="1" applyBorder="1" applyAlignment="1">
      <alignment vertical="center"/>
    </xf>
    <xf numFmtId="175" fontId="9" fillId="3" borderId="10" xfId="0" applyNumberFormat="1" applyFont="1" applyFill="1" applyBorder="1" applyAlignment="1">
      <alignment vertical="center"/>
    </xf>
    <xf numFmtId="175" fontId="9" fillId="3" borderId="11" xfId="0" applyNumberFormat="1" applyFont="1" applyFill="1" applyBorder="1" applyAlignment="1">
      <alignment vertical="center"/>
    </xf>
    <xf numFmtId="175" fontId="9" fillId="3" borderId="12" xfId="0" applyNumberFormat="1" applyFont="1" applyFill="1" applyBorder="1" applyAlignment="1">
      <alignment vertical="center"/>
    </xf>
    <xf numFmtId="175" fontId="9" fillId="3" borderId="13" xfId="0" applyNumberFormat="1" applyFont="1" applyFill="1" applyBorder="1" applyAlignment="1">
      <alignment vertical="center"/>
    </xf>
    <xf numFmtId="175" fontId="9" fillId="3" borderId="14" xfId="0" applyNumberFormat="1" applyFont="1" applyFill="1" applyBorder="1" applyAlignment="1">
      <alignment vertical="center"/>
    </xf>
    <xf numFmtId="175" fontId="9" fillId="3" borderId="15" xfId="0" applyNumberFormat="1" applyFont="1" applyFill="1" applyBorder="1" applyAlignment="1">
      <alignment vertical="center"/>
    </xf>
    <xf numFmtId="169" fontId="11" fillId="0" borderId="0" xfId="0" applyNumberFormat="1" applyFont="1" applyAlignment="1">
      <alignment vertical="center"/>
    </xf>
    <xf numFmtId="0" fontId="17" fillId="0" borderId="16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74" fontId="20" fillId="0" borderId="18" xfId="1" applyNumberFormat="1" applyFont="1" applyFill="1" applyBorder="1" applyAlignment="1">
      <alignment horizontal="center"/>
    </xf>
    <xf numFmtId="165" fontId="20" fillId="0" borderId="0" xfId="0" applyNumberFormat="1" applyFont="1" applyBorder="1" applyAlignment="1">
      <alignment horizontal="center" vertical="center"/>
    </xf>
    <xf numFmtId="0" fontId="20" fillId="0" borderId="0" xfId="0" applyFont="1"/>
    <xf numFmtId="166" fontId="20" fillId="0" borderId="0" xfId="0" applyNumberFormat="1" applyFont="1" applyBorder="1" applyAlignment="1">
      <alignment horizontal="center" vertical="center"/>
    </xf>
    <xf numFmtId="0" fontId="20" fillId="0" borderId="19" xfId="1" applyFont="1" applyFill="1" applyBorder="1" applyAlignment="1">
      <alignment horizontal="centerContinuous" vertical="center"/>
    </xf>
    <xf numFmtId="173" fontId="20" fillId="0" borderId="18" xfId="1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168" fontId="13" fillId="0" borderId="0" xfId="0" applyNumberFormat="1" applyFont="1" applyAlignment="1">
      <alignment vertical="center"/>
    </xf>
    <xf numFmtId="7" fontId="13" fillId="0" borderId="0" xfId="0" applyNumberFormat="1" applyFont="1" applyAlignment="1">
      <alignment vertical="center"/>
    </xf>
    <xf numFmtId="0" fontId="21" fillId="0" borderId="0" xfId="2" applyFont="1" applyAlignment="1">
      <alignment vertical="center"/>
    </xf>
    <xf numFmtId="0" fontId="21" fillId="0" borderId="0" xfId="0" applyFont="1" applyAlignment="1">
      <alignment vertical="center"/>
    </xf>
    <xf numFmtId="168" fontId="21" fillId="0" borderId="0" xfId="0" applyNumberFormat="1" applyFont="1" applyAlignment="1">
      <alignment vertical="center"/>
    </xf>
    <xf numFmtId="7" fontId="21" fillId="0" borderId="0" xfId="0" applyNumberFormat="1" applyFont="1" applyAlignment="1">
      <alignment vertical="center"/>
    </xf>
    <xf numFmtId="0" fontId="22" fillId="0" borderId="0" xfId="0" applyFont="1" applyBorder="1"/>
  </cellXfs>
  <cellStyles count="3">
    <cellStyle name="Heading 1" xfId="1" builtinId="16"/>
    <cellStyle name="Normal" xfId="0" builtinId="0"/>
    <cellStyle name="Warning Text" xfId="2" builtinId="11"/>
  </cellStyles>
  <dxfs count="0"/>
  <tableStyles count="0" defaultTableStyle="TableStyleMedium2" defaultPivotStyle="PivotStyleLight16"/>
  <colors>
    <mruColors>
      <color rgb="FF1F497D"/>
      <color rgb="FFECEBE5"/>
      <color rgb="FF255B89"/>
      <color rgb="FFC3DDB8"/>
      <color rgb="FFE1EEDC"/>
      <color rgb="FFE2F5FB"/>
      <color rgb="FFE9E6E1"/>
      <color rgb="FFE3DFDB"/>
      <color rgb="FF003868"/>
      <color rgb="FFB2C2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P82"/>
  <sheetViews>
    <sheetView showGridLines="0" tabSelected="1" zoomScale="85" zoomScaleNormal="85" workbookViewId="0"/>
  </sheetViews>
  <sheetFormatPr defaultRowHeight="12.75" x14ac:dyDescent="0.2"/>
  <cols>
    <col min="1" max="1" width="2.7109375" style="1" customWidth="1"/>
    <col min="2" max="16" width="10.7109375" style="1" customWidth="1"/>
    <col min="17" max="16384" width="9.140625" style="1"/>
  </cols>
  <sheetData>
    <row r="1" spans="2:16" ht="13.5" customHeight="1" x14ac:dyDescent="0.2"/>
    <row r="2" spans="2:16" ht="24" customHeight="1" thickBot="1" x14ac:dyDescent="0.35">
      <c r="B2" s="99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s="5" customFormat="1" ht="2.4500000000000002" customHeight="1" x14ac:dyDescent="0.2">
      <c r="B3" s="84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</row>
    <row r="4" spans="2:16" x14ac:dyDescent="0.2">
      <c r="B4" s="14" t="s">
        <v>0</v>
      </c>
    </row>
    <row r="5" spans="2:16" s="88" customFormat="1" x14ac:dyDescent="0.2">
      <c r="G5" s="89" t="s">
        <v>36</v>
      </c>
    </row>
    <row r="6" spans="2:16" s="88" customFormat="1" x14ac:dyDescent="0.2">
      <c r="F6" s="87" t="s">
        <v>35</v>
      </c>
      <c r="G6" s="87" t="s">
        <v>10</v>
      </c>
      <c r="H6" s="90" t="s">
        <v>37</v>
      </c>
      <c r="I6" s="90"/>
      <c r="J6" s="90"/>
      <c r="K6" s="90"/>
      <c r="L6" s="90"/>
      <c r="M6" s="90"/>
      <c r="N6" s="90"/>
      <c r="O6" s="90"/>
      <c r="P6" s="90"/>
    </row>
    <row r="7" spans="2:16" s="88" customFormat="1" ht="13.5" customHeight="1" thickBot="1" x14ac:dyDescent="0.25">
      <c r="B7" s="91"/>
      <c r="C7" s="91"/>
      <c r="D7" s="91"/>
      <c r="E7" s="91"/>
      <c r="F7" s="91">
        <v>41274</v>
      </c>
      <c r="G7" s="91">
        <v>41547</v>
      </c>
      <c r="H7" s="86">
        <f>EOMONTH(G7,12)</f>
        <v>41912</v>
      </c>
      <c r="I7" s="86">
        <f t="shared" ref="I7:P7" si="0">EOMONTH(H7,12)</f>
        <v>42277</v>
      </c>
      <c r="J7" s="86">
        <f t="shared" si="0"/>
        <v>42643</v>
      </c>
      <c r="K7" s="86">
        <f t="shared" si="0"/>
        <v>43008</v>
      </c>
      <c r="L7" s="86">
        <f t="shared" si="0"/>
        <v>43373</v>
      </c>
      <c r="M7" s="86">
        <f t="shared" si="0"/>
        <v>43738</v>
      </c>
      <c r="N7" s="86">
        <f t="shared" si="0"/>
        <v>44104</v>
      </c>
      <c r="O7" s="86">
        <f t="shared" si="0"/>
        <v>44469</v>
      </c>
      <c r="P7" s="86">
        <f t="shared" si="0"/>
        <v>44834</v>
      </c>
    </row>
    <row r="8" spans="2:16" s="5" customFormat="1" ht="5.0999999999999996" customHeight="1" x14ac:dyDescent="0.2"/>
    <row r="9" spans="2:16" s="5" customFormat="1" ht="13.5" customHeight="1" x14ac:dyDescent="0.2">
      <c r="B9" s="5" t="s">
        <v>33</v>
      </c>
      <c r="G9" s="21">
        <v>0.75</v>
      </c>
      <c r="H9" s="21">
        <v>1</v>
      </c>
      <c r="I9" s="21">
        <v>1</v>
      </c>
      <c r="J9" s="21">
        <v>1</v>
      </c>
      <c r="K9" s="21">
        <v>1</v>
      </c>
      <c r="L9" s="21">
        <v>1</v>
      </c>
      <c r="M9" s="21">
        <v>1</v>
      </c>
      <c r="N9" s="21">
        <v>1</v>
      </c>
      <c r="O9" s="21">
        <v>1</v>
      </c>
      <c r="P9" s="21">
        <v>1</v>
      </c>
    </row>
    <row r="10" spans="2:16" s="5" customFormat="1" ht="13.5" customHeight="1" x14ac:dyDescent="0.2">
      <c r="B10" s="5" t="s">
        <v>20</v>
      </c>
      <c r="G10" s="19">
        <f>SUM($G9:G9)</f>
        <v>0.75</v>
      </c>
      <c r="H10" s="19">
        <f>SUM($G9:H9)</f>
        <v>1.75</v>
      </c>
      <c r="I10" s="19">
        <f>SUM($G9:I9)</f>
        <v>2.75</v>
      </c>
      <c r="J10" s="19">
        <f>SUM($G9:J9)</f>
        <v>3.75</v>
      </c>
      <c r="K10" s="19">
        <f>SUM($G9:K9)</f>
        <v>4.75</v>
      </c>
      <c r="L10" s="19">
        <f>SUM($G9:L9)</f>
        <v>5.75</v>
      </c>
      <c r="M10" s="19">
        <f>SUM($G9:M9)</f>
        <v>6.75</v>
      </c>
      <c r="N10" s="19">
        <f>SUM($G9:N9)</f>
        <v>7.75</v>
      </c>
      <c r="O10" s="19">
        <f>SUM($G9:O9)</f>
        <v>8.75</v>
      </c>
      <c r="P10" s="19">
        <f>SUM($G9:P9)</f>
        <v>9.75</v>
      </c>
    </row>
    <row r="11" spans="2:16" s="5" customFormat="1" ht="13.5" customHeight="1" x14ac:dyDescent="0.2"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2:16" s="5" customFormat="1" ht="13.5" customHeight="1" x14ac:dyDescent="0.2">
      <c r="B12" s="16" t="s">
        <v>38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</row>
    <row r="13" spans="2:16" s="5" customFormat="1" ht="5.0999999999999996" customHeight="1" x14ac:dyDescent="0.2">
      <c r="B13" s="12"/>
    </row>
    <row r="14" spans="2:16" s="5" customFormat="1" ht="13.5" customHeight="1" x14ac:dyDescent="0.2">
      <c r="B14" s="5" t="s">
        <v>11</v>
      </c>
      <c r="F14" s="23">
        <v>25.585417972103045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2:16" s="5" customFormat="1" ht="13.5" customHeight="1" x14ac:dyDescent="0.2">
      <c r="B15" s="5" t="s">
        <v>39</v>
      </c>
      <c r="F15" s="26">
        <v>35.159164871194378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2:16" s="5" customFormat="1" ht="13.5" customHeight="1" x14ac:dyDescent="0.2">
      <c r="B16" s="5" t="s">
        <v>12</v>
      </c>
      <c r="F16" s="83">
        <v>0.35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2:16" s="5" customFormat="1" ht="13.5" customHeight="1" x14ac:dyDescent="0.2"/>
    <row r="18" spans="2:16" s="5" customFormat="1" ht="13.5" customHeight="1" x14ac:dyDescent="0.2">
      <c r="B18" s="16" t="s">
        <v>30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8"/>
    </row>
    <row r="19" spans="2:16" s="5" customFormat="1" ht="5.0999999999999996" customHeight="1" x14ac:dyDescent="0.2">
      <c r="B19" s="12"/>
    </row>
    <row r="20" spans="2:16" s="5" customFormat="1" ht="13.5" customHeight="1" x14ac:dyDescent="0.2">
      <c r="B20" s="5" t="s">
        <v>1</v>
      </c>
      <c r="F20" s="15"/>
      <c r="G20" s="23">
        <v>94.874999999999972</v>
      </c>
      <c r="H20" s="23">
        <v>155.90000000000003</v>
      </c>
      <c r="I20" s="23">
        <v>160.09999999999991</v>
      </c>
      <c r="J20" s="23">
        <v>161.26136025504778</v>
      </c>
      <c r="K20" s="23">
        <v>162.43308759420017</v>
      </c>
      <c r="L20" s="23">
        <v>163.61527456103465</v>
      </c>
      <c r="M20" s="23">
        <v>164.80801452523522</v>
      </c>
      <c r="N20" s="23">
        <v>166.01140168996628</v>
      </c>
      <c r="O20" s="23">
        <v>167.22553109931346</v>
      </c>
      <c r="P20" s="23">
        <v>168.45049864578976</v>
      </c>
    </row>
    <row r="21" spans="2:16" ht="13.5" customHeight="1" x14ac:dyDescent="0.2">
      <c r="B21" s="5"/>
      <c r="C21" s="5"/>
      <c r="D21" s="5"/>
      <c r="E21" s="5"/>
      <c r="F21" s="15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2:16" x14ac:dyDescent="0.2">
      <c r="B22" s="5" t="s">
        <v>2</v>
      </c>
      <c r="C22" s="5"/>
      <c r="D22" s="5"/>
      <c r="E22" s="5"/>
      <c r="F22" s="15"/>
      <c r="G22" s="23">
        <v>82.692857142857122</v>
      </c>
      <c r="H22" s="23">
        <v>139.6571428571429</v>
      </c>
      <c r="I22" s="23">
        <v>143.85714285714278</v>
      </c>
      <c r="J22" s="23">
        <v>144.89263701229692</v>
      </c>
      <c r="K22" s="23">
        <v>145.93737468594549</v>
      </c>
      <c r="L22" s="23">
        <v>146.99143839196239</v>
      </c>
      <c r="M22" s="23">
        <v>148.05491138079609</v>
      </c>
      <c r="N22" s="23">
        <v>150.73502050318723</v>
      </c>
      <c r="O22" s="23">
        <v>152.35327907394588</v>
      </c>
      <c r="P22" s="23">
        <v>153.4454868786442</v>
      </c>
    </row>
    <row r="23" spans="2:16" ht="13.5" customHeight="1" x14ac:dyDescent="0.2">
      <c r="B23" s="5" t="s">
        <v>13</v>
      </c>
      <c r="C23" s="5"/>
      <c r="D23" s="5"/>
      <c r="E23" s="5"/>
      <c r="F23" s="5"/>
      <c r="G23" s="8">
        <f t="shared" ref="G23:P23" si="1">-G22*$F$16</f>
        <v>-28.942499999999992</v>
      </c>
      <c r="H23" s="8">
        <f t="shared" si="1"/>
        <v>-48.88000000000001</v>
      </c>
      <c r="I23" s="8">
        <f t="shared" si="1"/>
        <v>-50.349999999999966</v>
      </c>
      <c r="J23" s="8">
        <f t="shared" si="1"/>
        <v>-50.712422954303918</v>
      </c>
      <c r="K23" s="8">
        <f t="shared" si="1"/>
        <v>-51.078081140080918</v>
      </c>
      <c r="L23" s="8">
        <f t="shared" si="1"/>
        <v>-51.447003437186837</v>
      </c>
      <c r="M23" s="8">
        <f t="shared" si="1"/>
        <v>-51.819218983278624</v>
      </c>
      <c r="N23" s="8">
        <f t="shared" si="1"/>
        <v>-52.75725717611553</v>
      </c>
      <c r="O23" s="8">
        <f t="shared" si="1"/>
        <v>-53.323647675881055</v>
      </c>
      <c r="P23" s="8">
        <f t="shared" si="1"/>
        <v>-53.705920407525468</v>
      </c>
    </row>
    <row r="24" spans="2:16" x14ac:dyDescent="0.2">
      <c r="B24" s="6" t="s">
        <v>15</v>
      </c>
      <c r="C24" s="6"/>
      <c r="D24" s="6"/>
      <c r="E24" s="6"/>
      <c r="F24" s="32"/>
      <c r="G24" s="7">
        <f>SUM(G22:G23)</f>
        <v>53.750357142857126</v>
      </c>
      <c r="H24" s="7">
        <f>SUM(H22:H23)</f>
        <v>90.777142857142891</v>
      </c>
      <c r="I24" s="7">
        <f t="shared" ref="I24:K24" si="2">SUM(I22:I23)</f>
        <v>93.50714285714281</v>
      </c>
      <c r="J24" s="7">
        <f t="shared" si="2"/>
        <v>94.180214057992998</v>
      </c>
      <c r="K24" s="7">
        <f t="shared" si="2"/>
        <v>94.859293545864574</v>
      </c>
      <c r="L24" s="7">
        <f t="shared" ref="L24" si="3">SUM(L22:L23)</f>
        <v>95.544434954775554</v>
      </c>
      <c r="M24" s="7">
        <f t="shared" ref="M24" si="4">SUM(M22:M23)</f>
        <v>96.235692397517454</v>
      </c>
      <c r="N24" s="7">
        <f t="shared" ref="N24" si="5">SUM(N22:N23)</f>
        <v>97.977763327071699</v>
      </c>
      <c r="O24" s="7">
        <f t="shared" ref="O24" si="6">SUM(O22:O23)</f>
        <v>99.029631398064822</v>
      </c>
      <c r="P24" s="7">
        <f t="shared" ref="P24" si="7">SUM(P22:P23)</f>
        <v>99.739566471118735</v>
      </c>
    </row>
    <row r="25" spans="2:16" x14ac:dyDescent="0.2">
      <c r="B25" s="5" t="s">
        <v>14</v>
      </c>
      <c r="C25" s="5"/>
      <c r="D25" s="5"/>
      <c r="E25" s="5"/>
      <c r="F25" s="5"/>
      <c r="G25" s="20">
        <v>12.182142857142857</v>
      </c>
      <c r="H25" s="20">
        <v>16.242857142857144</v>
      </c>
      <c r="I25" s="20">
        <v>16.24285714285714</v>
      </c>
      <c r="J25" s="20">
        <v>16.368723242750868</v>
      </c>
      <c r="K25" s="20">
        <v>16.495712908254703</v>
      </c>
      <c r="L25" s="20">
        <v>16.623836169072277</v>
      </c>
      <c r="M25" s="20">
        <v>16.753103144439127</v>
      </c>
      <c r="N25" s="20">
        <v>15.276381186779041</v>
      </c>
      <c r="O25" s="20">
        <v>14.872252025367564</v>
      </c>
      <c r="P25" s="20">
        <v>15.00501176714555</v>
      </c>
    </row>
    <row r="26" spans="2:16" x14ac:dyDescent="0.2">
      <c r="B26" s="5" t="s">
        <v>16</v>
      </c>
      <c r="C26" s="5"/>
      <c r="D26" s="5"/>
      <c r="E26" s="5"/>
      <c r="F26" s="5"/>
      <c r="G26" s="20">
        <v>-12.750000000000002</v>
      </c>
      <c r="H26" s="20">
        <v>-18</v>
      </c>
      <c r="I26" s="20">
        <v>-18.999999999999996</v>
      </c>
      <c r="J26" s="20">
        <v>-19.169606801275233</v>
      </c>
      <c r="K26" s="20">
        <v>-19.340727627131464</v>
      </c>
      <c r="L26" s="20">
        <v>-19.513375992772165</v>
      </c>
      <c r="M26" s="20">
        <v>-19.687565534046644</v>
      </c>
      <c r="N26" s="20">
        <v>-19.863310008526977</v>
      </c>
      <c r="O26" s="20">
        <v>-20.040623296594589</v>
      </c>
      <c r="P26" s="20">
        <v>-20.219519402536559</v>
      </c>
    </row>
    <row r="27" spans="2:16" ht="13.5" customHeight="1" x14ac:dyDescent="0.2">
      <c r="B27" s="5" t="s">
        <v>17</v>
      </c>
      <c r="C27" s="5"/>
      <c r="D27" s="5"/>
      <c r="E27" s="5"/>
      <c r="F27" s="5"/>
      <c r="G27" s="20">
        <v>1.9555124741068397</v>
      </c>
      <c r="H27" s="20">
        <v>-3.7902037907200992</v>
      </c>
      <c r="I27" s="20">
        <v>-1.293487816307362</v>
      </c>
      <c r="J27" s="20">
        <v>-0.41035585590583423</v>
      </c>
      <c r="K27" s="20">
        <v>-0.4140189687534388</v>
      </c>
      <c r="L27" s="20">
        <v>-0.41771478101429693</v>
      </c>
      <c r="M27" s="20">
        <v>-0.42144358458560305</v>
      </c>
      <c r="N27" s="20">
        <v>-0.4252056739697565</v>
      </c>
      <c r="O27" s="20">
        <v>-0.42900134629849163</v>
      </c>
      <c r="P27" s="20">
        <v>-0.43283090135578561</v>
      </c>
    </row>
    <row r="28" spans="2:16" ht="13.5" customHeight="1" x14ac:dyDescent="0.2">
      <c r="B28" s="10" t="s">
        <v>18</v>
      </c>
      <c r="C28" s="10"/>
      <c r="D28" s="10"/>
      <c r="E28" s="10"/>
      <c r="F28" s="10"/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</row>
    <row r="29" spans="2:16" ht="13.5" customHeight="1" x14ac:dyDescent="0.2">
      <c r="B29" s="30" t="s">
        <v>19</v>
      </c>
      <c r="C29" s="31"/>
      <c r="D29" s="31"/>
      <c r="E29" s="31"/>
      <c r="F29" s="55">
        <v>0</v>
      </c>
      <c r="G29" s="56">
        <f>SUM(G24:G28)</f>
        <v>55.138012474106816</v>
      </c>
      <c r="H29" s="56">
        <f t="shared" ref="H29:P29" si="8">SUM(H24:H28)</f>
        <v>85.229796209279939</v>
      </c>
      <c r="I29" s="56">
        <f t="shared" si="8"/>
        <v>89.456512183692581</v>
      </c>
      <c r="J29" s="56">
        <f t="shared" si="8"/>
        <v>90.968974643562788</v>
      </c>
      <c r="K29" s="56">
        <f t="shared" si="8"/>
        <v>91.600259858234367</v>
      </c>
      <c r="L29" s="56">
        <f t="shared" si="8"/>
        <v>92.237180350061365</v>
      </c>
      <c r="M29" s="56">
        <f t="shared" si="8"/>
        <v>92.879786423324333</v>
      </c>
      <c r="N29" s="56">
        <f t="shared" si="8"/>
        <v>92.96562883135401</v>
      </c>
      <c r="O29" s="56">
        <f t="shared" si="8"/>
        <v>93.4322587805393</v>
      </c>
      <c r="P29" s="56">
        <f t="shared" si="8"/>
        <v>94.092227934371934</v>
      </c>
    </row>
    <row r="30" spans="2:16" ht="13.5" customHeight="1" x14ac:dyDescent="0.2"/>
    <row r="31" spans="2:16" s="5" customFormat="1" ht="13.5" customHeight="1" x14ac:dyDescent="0.2">
      <c r="B31" s="16" t="s">
        <v>31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2:16" s="5" customFormat="1" ht="5.0999999999999996" customHeight="1" x14ac:dyDescent="0.2">
      <c r="B32" s="12"/>
    </row>
    <row r="33" spans="2:16" s="5" customFormat="1" ht="13.5" customHeight="1" x14ac:dyDescent="0.2">
      <c r="B33" s="5" t="str">
        <f>"( + ) Terminal cash flow ("&amp;TEXT(F52,"0.0x")&amp;" terminal multiple)"</f>
        <v>( + ) Terminal cash flow (5.0x terminal multiple)</v>
      </c>
      <c r="K33" s="9">
        <f>K20*F52</f>
        <v>812.16543797100087</v>
      </c>
      <c r="L33" s="10"/>
      <c r="M33" s="10"/>
      <c r="N33" s="10"/>
      <c r="O33" s="10"/>
      <c r="P33" s="10"/>
    </row>
    <row r="34" spans="2:16" s="5" customFormat="1" ht="13.5" customHeight="1" x14ac:dyDescent="0.2">
      <c r="B34" s="6" t="s">
        <v>28</v>
      </c>
      <c r="C34" s="6"/>
      <c r="D34" s="6"/>
      <c r="E34" s="6"/>
      <c r="F34" s="13">
        <f t="shared" ref="F34:K34" si="9">F$29+F33</f>
        <v>0</v>
      </c>
      <c r="G34" s="13">
        <f t="shared" si="9"/>
        <v>55.138012474106816</v>
      </c>
      <c r="H34" s="13">
        <f t="shared" si="9"/>
        <v>85.229796209279939</v>
      </c>
      <c r="I34" s="13">
        <f t="shared" si="9"/>
        <v>89.456512183692581</v>
      </c>
      <c r="J34" s="13">
        <f t="shared" si="9"/>
        <v>90.968974643562788</v>
      </c>
      <c r="K34" s="13">
        <f t="shared" si="9"/>
        <v>903.76569782923525</v>
      </c>
      <c r="L34" s="35"/>
      <c r="M34" s="35"/>
      <c r="N34" s="35"/>
      <c r="O34" s="35"/>
      <c r="P34" s="35"/>
    </row>
    <row r="35" spans="2:16" s="5" customFormat="1" ht="13.5" customHeight="1" x14ac:dyDescent="0.2"/>
    <row r="36" spans="2:16" s="11" customFormat="1" ht="13.5" customHeight="1" x14ac:dyDescent="0.2">
      <c r="B36" s="29" t="s">
        <v>26</v>
      </c>
      <c r="C36" s="29"/>
      <c r="D36" s="29"/>
      <c r="E36" s="29"/>
      <c r="F36" s="57">
        <f>XNPV($C$54,F34:K34,F$7:K$7)-F34</f>
        <v>773.07512930129224</v>
      </c>
      <c r="G36" s="58"/>
    </row>
    <row r="37" spans="2:16" s="96" customFormat="1" ht="13.5" customHeight="1" x14ac:dyDescent="0.2">
      <c r="B37" s="95" t="s">
        <v>21</v>
      </c>
      <c r="F37" s="97">
        <f>ROUND(F36-F54,1)</f>
        <v>0</v>
      </c>
      <c r="G37" s="98"/>
    </row>
    <row r="38" spans="2:16" ht="13.5" customHeight="1" x14ac:dyDescent="0.2"/>
    <row r="39" spans="2:16" s="5" customFormat="1" ht="13.5" customHeight="1" x14ac:dyDescent="0.2">
      <c r="B39" s="5" t="str">
        <f>"( + ) Terminal cash flow ("&amp;TEXT(F71,"0.0%")&amp;" terminal growth)"</f>
        <v>( + ) Terminal cash flow (0.5% terminal growth)</v>
      </c>
      <c r="K39" s="9">
        <f>K29*(1+F71)/(C73-F71)</f>
        <v>800.50661876109166</v>
      </c>
    </row>
    <row r="40" spans="2:16" s="5" customFormat="1" ht="13.5" customHeight="1" x14ac:dyDescent="0.2">
      <c r="B40" s="6" t="s">
        <v>29</v>
      </c>
      <c r="C40" s="6"/>
      <c r="D40" s="6"/>
      <c r="E40" s="6"/>
      <c r="F40" s="13">
        <f t="shared" ref="F40:K40" si="10">F$29+F39</f>
        <v>0</v>
      </c>
      <c r="G40" s="13">
        <f t="shared" si="10"/>
        <v>55.138012474106816</v>
      </c>
      <c r="H40" s="13">
        <f t="shared" si="10"/>
        <v>85.229796209279939</v>
      </c>
      <c r="I40" s="13">
        <f t="shared" si="10"/>
        <v>89.456512183692581</v>
      </c>
      <c r="J40" s="13">
        <f t="shared" si="10"/>
        <v>90.968974643562788</v>
      </c>
      <c r="K40" s="13">
        <f t="shared" si="10"/>
        <v>892.10687861932604</v>
      </c>
      <c r="L40" s="35"/>
      <c r="M40" s="35"/>
      <c r="N40" s="35"/>
      <c r="O40" s="35"/>
      <c r="P40" s="35"/>
    </row>
    <row r="41" spans="2:16" ht="13.5" customHeight="1" x14ac:dyDescent="0.2"/>
    <row r="42" spans="2:16" s="11" customFormat="1" ht="13.5" customHeight="1" x14ac:dyDescent="0.2">
      <c r="B42" s="29" t="s">
        <v>27</v>
      </c>
      <c r="C42" s="29"/>
      <c r="D42" s="29"/>
      <c r="E42" s="29"/>
      <c r="F42" s="57">
        <f>XNPV($C$54,F40:K40,F$7:K$7)-F40</f>
        <v>766.27001774159953</v>
      </c>
      <c r="G42" s="58"/>
    </row>
    <row r="43" spans="2:16" s="96" customFormat="1" ht="13.5" customHeight="1" x14ac:dyDescent="0.2">
      <c r="B43" s="96" t="s">
        <v>21</v>
      </c>
      <c r="F43" s="97">
        <f>ROUND(F42-F73,1)</f>
        <v>0</v>
      </c>
      <c r="G43" s="98"/>
    </row>
    <row r="44" spans="2:16" ht="13.5" customHeight="1" x14ac:dyDescent="0.2"/>
    <row r="45" spans="2:16" s="5" customFormat="1" ht="13.5" customHeight="1" x14ac:dyDescent="0.2">
      <c r="B45" s="16" t="s">
        <v>22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8"/>
    </row>
    <row r="46" spans="2:16" s="5" customFormat="1" ht="5.0999999999999996" customHeight="1" x14ac:dyDescent="0.2">
      <c r="B46" s="12"/>
      <c r="G46" s="54"/>
      <c r="H46" s="54"/>
      <c r="I46" s="54"/>
    </row>
    <row r="47" spans="2:16" s="92" customFormat="1" ht="13.5" customHeight="1" x14ac:dyDescent="0.2">
      <c r="B47" s="92" t="s">
        <v>40</v>
      </c>
      <c r="N47" s="93"/>
      <c r="O47" s="94"/>
    </row>
    <row r="48" spans="2:16" s="92" customFormat="1" ht="13.5" customHeight="1" x14ac:dyDescent="0.2">
      <c r="B48" s="92" t="s">
        <v>41</v>
      </c>
      <c r="N48" s="93"/>
      <c r="O48" s="94"/>
    </row>
    <row r="49" spans="2:16" s="5" customFormat="1" ht="13.5" customHeight="1" x14ac:dyDescent="0.2">
      <c r="B49" s="12"/>
      <c r="G49" s="54"/>
      <c r="H49" s="54"/>
      <c r="I49" s="54"/>
    </row>
    <row r="50" spans="2:16" s="5" customFormat="1" ht="13.5" customHeight="1" x14ac:dyDescent="0.2">
      <c r="E50" s="11" t="s">
        <v>24</v>
      </c>
      <c r="I50" s="11" t="s">
        <v>25</v>
      </c>
    </row>
    <row r="51" spans="2:16" ht="13.5" customHeight="1" x14ac:dyDescent="0.2">
      <c r="E51" s="34" t="s">
        <v>3</v>
      </c>
      <c r="F51" s="34"/>
      <c r="G51" s="34"/>
      <c r="I51" s="34" t="str">
        <f>E51</f>
        <v>Terminal EBITDA Multiple</v>
      </c>
      <c r="J51" s="34"/>
      <c r="K51" s="34"/>
    </row>
    <row r="52" spans="2:16" ht="13.5" customHeight="1" x14ac:dyDescent="0.2">
      <c r="E52" s="36">
        <v>4.5</v>
      </c>
      <c r="F52" s="36">
        <v>5</v>
      </c>
      <c r="G52" s="36">
        <v>5.5</v>
      </c>
      <c r="I52" s="37">
        <f>$E$52</f>
        <v>4.5</v>
      </c>
      <c r="J52" s="37">
        <f>$F$52</f>
        <v>5</v>
      </c>
      <c r="K52" s="37">
        <f>$G$52</f>
        <v>5.5</v>
      </c>
    </row>
    <row r="53" spans="2:16" ht="13.5" customHeight="1" x14ac:dyDescent="0.2">
      <c r="B53" s="5" t="s">
        <v>4</v>
      </c>
      <c r="C53" s="22">
        <f>C54-0.01</f>
        <v>0.11</v>
      </c>
      <c r="D53" s="2"/>
      <c r="E53" s="45">
        <f t="shared" ref="E53:G55" si="11">$G$29/(1+$C53)^($G$10)+$H$29/(1+$C53)^($H$10)+$I$29/(1+$C53)^($I$10)+$J$29/(1+$C53)^($J$10)+$K$29/(1+$C53)^($K$10)+E$52*$K$20/(1+$C53)^($K$10)</f>
        <v>751.68288855189837</v>
      </c>
      <c r="F53" s="46">
        <f t="shared" si="11"/>
        <v>801.15498957400712</v>
      </c>
      <c r="G53" s="47">
        <f t="shared" si="11"/>
        <v>850.62709059611575</v>
      </c>
      <c r="I53" s="45">
        <f t="shared" ref="I53:K55" si="12">E53-$F$14</f>
        <v>726.0974705797953</v>
      </c>
      <c r="J53" s="46">
        <f t="shared" si="12"/>
        <v>775.56957160190404</v>
      </c>
      <c r="K53" s="47">
        <f t="shared" si="12"/>
        <v>825.04167262401268</v>
      </c>
    </row>
    <row r="54" spans="2:16" ht="13.5" customHeight="1" x14ac:dyDescent="0.2">
      <c r="B54" s="5" t="s">
        <v>5</v>
      </c>
      <c r="C54" s="22">
        <v>0.12</v>
      </c>
      <c r="D54" s="2"/>
      <c r="E54" s="48">
        <f t="shared" si="11"/>
        <v>725.66857265867793</v>
      </c>
      <c r="F54" s="41">
        <f t="shared" si="11"/>
        <v>773.07736540857491</v>
      </c>
      <c r="G54" s="49">
        <f t="shared" si="11"/>
        <v>820.48615815847188</v>
      </c>
      <c r="I54" s="48">
        <f t="shared" si="12"/>
        <v>700.08315468657486</v>
      </c>
      <c r="J54" s="41">
        <f t="shared" si="12"/>
        <v>747.49194743647183</v>
      </c>
      <c r="K54" s="49">
        <f t="shared" si="12"/>
        <v>794.90074018636881</v>
      </c>
    </row>
    <row r="55" spans="2:16" ht="13.5" customHeight="1" x14ac:dyDescent="0.2">
      <c r="B55" s="5" t="s">
        <v>6</v>
      </c>
      <c r="C55" s="22">
        <f>C54+0.01</f>
        <v>0.13</v>
      </c>
      <c r="D55" s="2"/>
      <c r="E55" s="50">
        <f t="shared" si="11"/>
        <v>700.87051998118477</v>
      </c>
      <c r="F55" s="51">
        <f t="shared" si="11"/>
        <v>746.31926520104889</v>
      </c>
      <c r="G55" s="52">
        <f t="shared" si="11"/>
        <v>791.7680104209129</v>
      </c>
      <c r="I55" s="50">
        <f t="shared" si="12"/>
        <v>675.2851020090817</v>
      </c>
      <c r="J55" s="51">
        <f t="shared" si="12"/>
        <v>720.73384722894582</v>
      </c>
      <c r="K55" s="52">
        <f t="shared" si="12"/>
        <v>766.18259244880983</v>
      </c>
    </row>
    <row r="56" spans="2:16" s="5" customFormat="1" ht="13.5" customHeight="1" x14ac:dyDescent="0.2"/>
    <row r="57" spans="2:16" s="5" customFormat="1" x14ac:dyDescent="0.2">
      <c r="E57" s="11" t="s">
        <v>7</v>
      </c>
      <c r="I57" s="11" t="s">
        <v>32</v>
      </c>
    </row>
    <row r="58" spans="2:16" ht="13.5" customHeight="1" x14ac:dyDescent="0.2">
      <c r="E58" s="33" t="str">
        <f>E51</f>
        <v>Terminal EBITDA Multiple</v>
      </c>
      <c r="F58" s="33"/>
      <c r="G58" s="33"/>
      <c r="I58" s="33" t="str">
        <f>E58</f>
        <v>Terminal EBITDA Multiple</v>
      </c>
      <c r="J58" s="33"/>
      <c r="K58" s="33"/>
    </row>
    <row r="59" spans="2:16" ht="13.5" customHeight="1" x14ac:dyDescent="0.2">
      <c r="E59" s="38">
        <f>$E$52</f>
        <v>4.5</v>
      </c>
      <c r="F59" s="38">
        <f>$F$52</f>
        <v>5</v>
      </c>
      <c r="G59" s="38">
        <f>$G$52</f>
        <v>5.5</v>
      </c>
      <c r="I59" s="38">
        <f>$E$52</f>
        <v>4.5</v>
      </c>
      <c r="J59" s="38">
        <f>$F$52</f>
        <v>5</v>
      </c>
      <c r="K59" s="38">
        <f>$G$52</f>
        <v>5.5</v>
      </c>
    </row>
    <row r="60" spans="2:16" ht="13.5" customHeight="1" x14ac:dyDescent="0.2">
      <c r="B60" s="5" t="s">
        <v>4</v>
      </c>
      <c r="C60" s="15">
        <f>$C$53</f>
        <v>0.11</v>
      </c>
      <c r="D60" s="4"/>
      <c r="E60" s="59">
        <f t="shared" ref="E60:G62" si="13">(E$59*$K$20*$C60-$K$29)/(E$59*$K$20+$K$29)</f>
        <v>-1.361120055163036E-2</v>
      </c>
      <c r="F60" s="60">
        <f t="shared" si="13"/>
        <v>-2.5029293398250692E-3</v>
      </c>
      <c r="G60" s="61">
        <f t="shared" si="13"/>
        <v>6.7734806317328016E-3</v>
      </c>
      <c r="I60" s="67">
        <f t="shared" ref="I60:K62" si="14">I53/$F$15</f>
        <v>20.651726889414292</v>
      </c>
      <c r="J60" s="68">
        <f t="shared" si="14"/>
        <v>22.058816654013359</v>
      </c>
      <c r="K60" s="69">
        <f t="shared" si="14"/>
        <v>23.465906418612427</v>
      </c>
    </row>
    <row r="61" spans="2:16" ht="13.5" customHeight="1" x14ac:dyDescent="0.2">
      <c r="B61" s="5" t="s">
        <v>5</v>
      </c>
      <c r="C61" s="15">
        <f>$C$54</f>
        <v>0.12</v>
      </c>
      <c r="D61" s="4"/>
      <c r="E61" s="62">
        <f t="shared" si="13"/>
        <v>-4.7248149710144198E-3</v>
      </c>
      <c r="F61" s="28">
        <f t="shared" si="13"/>
        <v>6.4835307562125426E-3</v>
      </c>
      <c r="G61" s="63">
        <f t="shared" si="13"/>
        <v>1.5843511988775441E-2</v>
      </c>
      <c r="I61" s="70">
        <f t="shared" si="14"/>
        <v>19.911825472855512</v>
      </c>
      <c r="J61" s="42">
        <f t="shared" si="14"/>
        <v>21.260230445601</v>
      </c>
      <c r="K61" s="71">
        <f t="shared" si="14"/>
        <v>22.608635418346488</v>
      </c>
    </row>
    <row r="62" spans="2:16" ht="13.5" customHeight="1" x14ac:dyDescent="0.2">
      <c r="B62" s="5" t="s">
        <v>6</v>
      </c>
      <c r="C62" s="15">
        <f>$C$55</f>
        <v>0.13</v>
      </c>
      <c r="D62" s="4"/>
      <c r="E62" s="64">
        <f t="shared" si="13"/>
        <v>4.1615706096015193E-3</v>
      </c>
      <c r="F62" s="65">
        <f t="shared" si="13"/>
        <v>1.5469990852250154E-2</v>
      </c>
      <c r="G62" s="66">
        <f t="shared" si="13"/>
        <v>2.4913543345818082E-2</v>
      </c>
      <c r="I62" s="72">
        <f t="shared" si="14"/>
        <v>19.206517119589986</v>
      </c>
      <c r="J62" s="73">
        <f t="shared" si="14"/>
        <v>20.499174251417937</v>
      </c>
      <c r="K62" s="74">
        <f t="shared" si="14"/>
        <v>21.791831383245881</v>
      </c>
    </row>
    <row r="63" spans="2:16" ht="13.5" customHeight="1" x14ac:dyDescent="0.2"/>
    <row r="64" spans="2:16" s="5" customFormat="1" ht="13.5" customHeight="1" x14ac:dyDescent="0.2">
      <c r="B64" s="16" t="s">
        <v>23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8"/>
    </row>
    <row r="65" spans="2:15" s="5" customFormat="1" ht="5.0999999999999996" customHeight="1" x14ac:dyDescent="0.2">
      <c r="B65" s="12"/>
      <c r="G65" s="54"/>
      <c r="H65" s="54"/>
      <c r="I65" s="54"/>
    </row>
    <row r="66" spans="2:15" s="92" customFormat="1" ht="13.5" customHeight="1" x14ac:dyDescent="0.2">
      <c r="B66" s="92" t="s">
        <v>42</v>
      </c>
      <c r="N66" s="93"/>
      <c r="O66" s="94"/>
    </row>
    <row r="67" spans="2:15" s="92" customFormat="1" ht="13.5" customHeight="1" x14ac:dyDescent="0.2">
      <c r="B67" s="92" t="s">
        <v>41</v>
      </c>
      <c r="N67" s="93"/>
      <c r="O67" s="94"/>
    </row>
    <row r="68" spans="2:15" s="5" customFormat="1" ht="13.5" customHeight="1" x14ac:dyDescent="0.2">
      <c r="E68" s="53"/>
    </row>
    <row r="69" spans="2:15" s="5" customFormat="1" x14ac:dyDescent="0.2">
      <c r="E69" s="11" t="s">
        <v>24</v>
      </c>
      <c r="I69" s="11" t="s">
        <v>25</v>
      </c>
    </row>
    <row r="70" spans="2:15" x14ac:dyDescent="0.2">
      <c r="E70" s="33" t="s">
        <v>8</v>
      </c>
      <c r="F70" s="33"/>
      <c r="G70" s="33"/>
      <c r="I70" s="33" t="str">
        <f>E70</f>
        <v>Terminal Perpetuity Growth Rate</v>
      </c>
      <c r="J70" s="33"/>
      <c r="K70" s="33"/>
    </row>
    <row r="71" spans="2:15" ht="13.5" customHeight="1" x14ac:dyDescent="0.2">
      <c r="E71" s="24">
        <v>0</v>
      </c>
      <c r="F71" s="24">
        <v>5.0000000000000001E-3</v>
      </c>
      <c r="G71" s="39">
        <v>0.01</v>
      </c>
      <c r="H71" s="5"/>
      <c r="I71" s="25">
        <f>$E$71</f>
        <v>0</v>
      </c>
      <c r="J71" s="40">
        <f>$F$71</f>
        <v>5.0000000000000001E-3</v>
      </c>
      <c r="K71" s="25">
        <f>$G$71</f>
        <v>0.01</v>
      </c>
    </row>
    <row r="72" spans="2:15" ht="13.5" customHeight="1" x14ac:dyDescent="0.2">
      <c r="B72" s="5" t="s">
        <v>4</v>
      </c>
      <c r="C72" s="15">
        <f>$C$53</f>
        <v>0.11</v>
      </c>
      <c r="D72" s="4"/>
      <c r="E72" s="45">
        <f t="shared" ref="E72:G74" si="15">$G$29/(1+$C72)^($G$10)+$H$29/(1+$C72)^($H$10)+$I$29/(1+$C72)^($I$10)+$J$29/(1+$C72)^($J$10)+$K$29/(1+$C72)^($K$10)+($K$29*(1+E$71)/($C72-E$71))/(1+$C72)^($K$10)</f>
        <v>813.68142801864451</v>
      </c>
      <c r="F72" s="46">
        <f t="shared" si="15"/>
        <v>840.49307887668988</v>
      </c>
      <c r="G72" s="47">
        <f t="shared" si="15"/>
        <v>869.9858948205399</v>
      </c>
      <c r="I72" s="45">
        <f t="shared" ref="I72:K74" si="16">E72-$F$14</f>
        <v>788.09601004654144</v>
      </c>
      <c r="J72" s="46">
        <f t="shared" si="16"/>
        <v>814.90766090458681</v>
      </c>
      <c r="K72" s="47">
        <f t="shared" si="16"/>
        <v>844.40047684843682</v>
      </c>
    </row>
    <row r="73" spans="2:15" x14ac:dyDescent="0.2">
      <c r="B73" s="5" t="s">
        <v>5</v>
      </c>
      <c r="C73" s="15">
        <f>$C$54</f>
        <v>0.12</v>
      </c>
      <c r="D73" s="4"/>
      <c r="E73" s="48">
        <f t="shared" si="15"/>
        <v>744.57370892389736</v>
      </c>
      <c r="F73" s="41">
        <f t="shared" si="15"/>
        <v>766.27172559937594</v>
      </c>
      <c r="G73" s="49">
        <f t="shared" si="15"/>
        <v>789.94228924535241</v>
      </c>
      <c r="I73" s="48">
        <f t="shared" si="16"/>
        <v>718.98829095179428</v>
      </c>
      <c r="J73" s="41">
        <f t="shared" si="16"/>
        <v>740.68630762727287</v>
      </c>
      <c r="K73" s="49">
        <f t="shared" si="16"/>
        <v>764.35687127324934</v>
      </c>
    </row>
    <row r="74" spans="2:15" x14ac:dyDescent="0.2">
      <c r="B74" s="5" t="s">
        <v>6</v>
      </c>
      <c r="C74" s="15">
        <f>$C$55</f>
        <v>0.13</v>
      </c>
      <c r="D74" s="4"/>
      <c r="E74" s="50">
        <f t="shared" si="15"/>
        <v>686.13541722021</v>
      </c>
      <c r="F74" s="51">
        <f t="shared" si="15"/>
        <v>703.95794013085447</v>
      </c>
      <c r="G74" s="52">
        <f t="shared" si="15"/>
        <v>723.26567328405281</v>
      </c>
      <c r="I74" s="50">
        <f t="shared" si="16"/>
        <v>660.54999924810693</v>
      </c>
      <c r="J74" s="51">
        <f t="shared" si="16"/>
        <v>678.37252215875139</v>
      </c>
      <c r="K74" s="52">
        <f t="shared" si="16"/>
        <v>697.68025531194974</v>
      </c>
    </row>
    <row r="76" spans="2:15" s="5" customFormat="1" x14ac:dyDescent="0.2">
      <c r="E76" s="11" t="s">
        <v>9</v>
      </c>
      <c r="I76" s="11" t="s">
        <v>32</v>
      </c>
    </row>
    <row r="77" spans="2:15" x14ac:dyDescent="0.2">
      <c r="E77" s="33" t="str">
        <f>E70</f>
        <v>Terminal Perpetuity Growth Rate</v>
      </c>
      <c r="F77" s="33"/>
      <c r="G77" s="33"/>
      <c r="I77" s="33" t="str">
        <f>E77</f>
        <v>Terminal Perpetuity Growth Rate</v>
      </c>
      <c r="J77" s="33"/>
      <c r="K77" s="33"/>
    </row>
    <row r="78" spans="2:15" ht="13.5" customHeight="1" x14ac:dyDescent="0.2">
      <c r="E78" s="25">
        <f>$E$71</f>
        <v>0</v>
      </c>
      <c r="F78" s="40">
        <f>$F$71</f>
        <v>5.0000000000000001E-3</v>
      </c>
      <c r="G78" s="25">
        <f>$G$71</f>
        <v>0.01</v>
      </c>
      <c r="H78" s="43"/>
      <c r="I78" s="25">
        <f>$E$71</f>
        <v>0</v>
      </c>
      <c r="J78" s="40">
        <f>$F$71</f>
        <v>5.0000000000000001E-3</v>
      </c>
      <c r="K78" s="25">
        <f>$G$71</f>
        <v>0.01</v>
      </c>
    </row>
    <row r="79" spans="2:15" ht="13.5" customHeight="1" x14ac:dyDescent="0.2">
      <c r="B79" s="5" t="s">
        <v>4</v>
      </c>
      <c r="C79" s="15">
        <f>$C$53</f>
        <v>0.11</v>
      </c>
      <c r="D79" s="4"/>
      <c r="E79" s="75">
        <f t="shared" ref="E79:G81" si="17">$K$29*(1+E$78)/($C79-E$78)/$K$20</f>
        <v>5.1266010355921559</v>
      </c>
      <c r="F79" s="76">
        <f t="shared" si="17"/>
        <v>5.3975785189020264</v>
      </c>
      <c r="G79" s="77">
        <f t="shared" si="17"/>
        <v>5.6956537505428839</v>
      </c>
      <c r="I79" s="67">
        <f t="shared" ref="I79:K81" si="18">I72/$F$15</f>
        <v>22.415094696752089</v>
      </c>
      <c r="J79" s="68">
        <f t="shared" si="18"/>
        <v>23.177673983156357</v>
      </c>
      <c r="K79" s="69">
        <f t="shared" si="18"/>
        <v>24.016511198201052</v>
      </c>
    </row>
    <row r="80" spans="2:15" ht="13.5" customHeight="1" x14ac:dyDescent="0.2">
      <c r="B80" s="5" t="s">
        <v>5</v>
      </c>
      <c r="C80" s="15">
        <f>$C$54</f>
        <v>0.12</v>
      </c>
      <c r="D80" s="4"/>
      <c r="E80" s="78">
        <f t="shared" si="17"/>
        <v>4.6993842826261423</v>
      </c>
      <c r="F80" s="44">
        <f t="shared" si="17"/>
        <v>4.9282238650844592</v>
      </c>
      <c r="G80" s="79">
        <f t="shared" si="17"/>
        <v>5.1778670459480765</v>
      </c>
      <c r="I80" s="70">
        <f t="shared" si="18"/>
        <v>20.449526989216277</v>
      </c>
      <c r="J80" s="42">
        <f t="shared" si="18"/>
        <v>21.066663851111869</v>
      </c>
      <c r="K80" s="71">
        <f t="shared" si="18"/>
        <v>21.739904064088872</v>
      </c>
    </row>
    <row r="81" spans="2:16" ht="13.5" customHeight="1" x14ac:dyDescent="0.2">
      <c r="B81" s="5" t="s">
        <v>6</v>
      </c>
      <c r="C81" s="15">
        <f>$C$55</f>
        <v>0.13</v>
      </c>
      <c r="D81" s="4"/>
      <c r="E81" s="80">
        <f t="shared" si="17"/>
        <v>4.3378931839625929</v>
      </c>
      <c r="F81" s="81">
        <f t="shared" si="17"/>
        <v>4.5339659558777017</v>
      </c>
      <c r="G81" s="82">
        <f t="shared" si="17"/>
        <v>4.7463781254524031</v>
      </c>
      <c r="I81" s="72">
        <f t="shared" si="18"/>
        <v>18.787420055852643</v>
      </c>
      <c r="J81" s="73">
        <f t="shared" si="18"/>
        <v>19.294329789799317</v>
      </c>
      <c r="K81" s="74">
        <f t="shared" si="18"/>
        <v>19.843482001574888</v>
      </c>
    </row>
    <row r="82" spans="2:16" ht="13.5" customHeight="1" thickBot="1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2008-10-06T18:34:59Z</dcterms:created>
  <dcterms:modified xsi:type="dcterms:W3CDTF">2015-05-04T17:10:26Z</dcterms:modified>
</cp:coreProperties>
</file>