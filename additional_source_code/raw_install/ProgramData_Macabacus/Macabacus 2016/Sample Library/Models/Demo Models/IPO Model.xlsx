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YAN MACGREGOR\Documents\"/>
    </mc:Choice>
  </mc:AlternateContent>
  <bookViews>
    <workbookView xWindow="120" yWindow="120" windowWidth="15480" windowHeight="11640" tabRatio="776" firstSheet="1" activeTab="1"/>
  </bookViews>
  <sheets>
    <sheet name="__FDSCACHE__" sheetId="33" state="veryHidden" r:id="rId1"/>
    <sheet name="Assumptions" sheetId="59" r:id="rId2"/>
    <sheet name="FDSO" sheetId="49" r:id="rId3"/>
    <sheet name="IPO" sheetId="57" r:id="rId4"/>
  </sheets>
  <definedNames>
    <definedName name="_xlnm.Print_Area">#REF!</definedName>
  </definedNames>
  <calcPr calcId="152511" calcMode="autoNoTable" iterate="1"/>
</workbook>
</file>

<file path=xl/calcChain.xml><?xml version="1.0" encoding="utf-8"?>
<calcChain xmlns="http://schemas.openxmlformats.org/spreadsheetml/2006/main">
  <c r="B11" i="49" l="1"/>
  <c r="B10" i="49"/>
  <c r="B39" i="57"/>
  <c r="B40" i="57"/>
  <c r="B41" i="57"/>
  <c r="B42" i="57"/>
  <c r="B43" i="57"/>
  <c r="B44" i="57"/>
  <c r="B45" i="57"/>
  <c r="B38" i="57"/>
  <c r="D5" i="49"/>
  <c r="D4" i="49"/>
  <c r="E11" i="49"/>
  <c r="E10" i="49"/>
  <c r="F45" i="57"/>
  <c r="F44" i="57"/>
  <c r="F43" i="57"/>
  <c r="F42" i="57"/>
  <c r="F41" i="57"/>
  <c r="F40" i="57"/>
  <c r="F39" i="57"/>
  <c r="F38" i="57"/>
  <c r="B34" i="57"/>
  <c r="F66" i="57"/>
  <c r="G66" i="57" s="1"/>
  <c r="H66" i="57" s="1"/>
  <c r="F62" i="57"/>
  <c r="G62" i="57" s="1"/>
  <c r="H62" i="57" s="1"/>
  <c r="H6" i="57"/>
  <c r="F6" i="57"/>
  <c r="G11" i="57"/>
  <c r="H11" i="57"/>
  <c r="G12" i="57"/>
  <c r="H12" i="57"/>
  <c r="F12" i="57"/>
  <c r="F11" i="57"/>
  <c r="F13" i="57" l="1"/>
  <c r="G6" i="57"/>
  <c r="G39" i="57"/>
  <c r="H39" i="57" s="1"/>
  <c r="G40" i="57"/>
  <c r="H40" i="57" s="1"/>
  <c r="G41" i="57"/>
  <c r="H41" i="57" s="1"/>
  <c r="G42" i="57"/>
  <c r="H42" i="57" s="1"/>
  <c r="G43" i="57"/>
  <c r="H43" i="57" s="1"/>
  <c r="G44" i="57"/>
  <c r="H44" i="57" s="1"/>
  <c r="G45" i="57"/>
  <c r="H45" i="57" s="1"/>
  <c r="G38" i="57"/>
  <c r="H38" i="57" s="1"/>
  <c r="H33" i="57"/>
  <c r="H34" i="57" s="1"/>
  <c r="H35" i="57" s="1"/>
  <c r="F33" i="57"/>
  <c r="F34" i="57" s="1"/>
  <c r="F46" i="57"/>
  <c r="F52" i="57" s="1"/>
  <c r="G13" i="57" l="1"/>
  <c r="G15" i="57" s="1"/>
  <c r="F26" i="57"/>
  <c r="F14" i="57"/>
  <c r="F15" i="57"/>
  <c r="H13" i="57"/>
  <c r="G33" i="57"/>
  <c r="G34" i="57" s="1"/>
  <c r="G35" i="57" s="1"/>
  <c r="H46" i="57"/>
  <c r="G46" i="57"/>
  <c r="F35" i="57"/>
  <c r="G14" i="57" l="1"/>
  <c r="G16" i="57" s="1"/>
  <c r="G27" i="57" s="1"/>
  <c r="G26" i="57"/>
  <c r="F16" i="57"/>
  <c r="H14" i="57"/>
  <c r="H15" i="57"/>
  <c r="H26" i="57"/>
  <c r="F21" i="57"/>
  <c r="H52" i="57"/>
  <c r="G52" i="57"/>
  <c r="G28" i="57" l="1"/>
  <c r="F27" i="57"/>
  <c r="F28" i="57" s="1"/>
  <c r="F17" i="57"/>
  <c r="G17" i="57"/>
  <c r="H16" i="57"/>
  <c r="H27" i="57" s="1"/>
  <c r="H28" i="57" s="1"/>
  <c r="F50" i="57"/>
  <c r="F51" i="57"/>
  <c r="G21" i="57"/>
  <c r="H17" i="57" l="1"/>
  <c r="F53" i="57"/>
  <c r="G51" i="57"/>
  <c r="G50" i="57"/>
  <c r="H21" i="57"/>
  <c r="G53" i="57" l="1"/>
  <c r="H51" i="57"/>
  <c r="H50" i="57"/>
  <c r="H53" i="57" l="1"/>
  <c r="E13" i="49" l="1"/>
  <c r="E12" i="49"/>
  <c r="F11" i="49"/>
  <c r="G11" i="49" s="1"/>
  <c r="H11" i="49" s="1"/>
  <c r="I11" i="49" s="1"/>
  <c r="J11" i="49" s="1"/>
  <c r="K11" i="49" s="1"/>
  <c r="F10" i="49"/>
  <c r="G10" i="49" s="1"/>
  <c r="A9" i="49"/>
  <c r="A10" i="49" s="1"/>
  <c r="A11" i="49" s="1"/>
  <c r="A12" i="49" s="1"/>
  <c r="A13" i="49" s="1"/>
  <c r="A14" i="49" s="1"/>
  <c r="F8" i="49"/>
  <c r="E14" i="49" l="1"/>
  <c r="F12" i="49"/>
  <c r="G8" i="49"/>
  <c r="G13" i="49" s="1"/>
  <c r="F13" i="49"/>
  <c r="G12" i="49"/>
  <c r="H10" i="49"/>
  <c r="F14" i="49" l="1"/>
  <c r="G14" i="49"/>
  <c r="F20" i="57" s="1"/>
  <c r="F22" i="57" s="1"/>
  <c r="F58" i="57" s="1"/>
  <c r="H8" i="49"/>
  <c r="H12" i="49"/>
  <c r="I10" i="49"/>
  <c r="I8" i="49"/>
  <c r="F67" i="57" l="1"/>
  <c r="F60" i="57"/>
  <c r="F63" i="57"/>
  <c r="H13" i="49"/>
  <c r="H14" i="49" s="1"/>
  <c r="G20" i="57" s="1"/>
  <c r="G22" i="57" s="1"/>
  <c r="G58" i="57" s="1"/>
  <c r="J10" i="49"/>
  <c r="I12" i="49"/>
  <c r="J8" i="49"/>
  <c r="I13" i="49"/>
  <c r="G67" i="57" l="1"/>
  <c r="G63" i="57"/>
  <c r="G60" i="57"/>
  <c r="F64" i="57"/>
  <c r="F68" i="57"/>
  <c r="F59" i="57"/>
  <c r="I14" i="49"/>
  <c r="H20" i="57" s="1"/>
  <c r="H22" i="57" s="1"/>
  <c r="H58" i="57" s="1"/>
  <c r="J13" i="49"/>
  <c r="K8" i="49"/>
  <c r="K10" i="49"/>
  <c r="J12" i="49"/>
  <c r="G64" i="57" l="1"/>
  <c r="G68" i="57"/>
  <c r="G59" i="57"/>
  <c r="H60" i="57"/>
  <c r="H67" i="57"/>
  <c r="H63" i="57"/>
  <c r="J14" i="49"/>
  <c r="K13" i="49"/>
  <c r="K12" i="49"/>
  <c r="H59" i="57" l="1"/>
  <c r="H64" i="57"/>
  <c r="H68" i="57"/>
  <c r="K14" i="49"/>
</calcChain>
</file>

<file path=xl/comments1.xml><?xml version="1.0" encoding="utf-8"?>
<comments xmlns="http://schemas.openxmlformats.org/spreadsheetml/2006/main">
  <authors>
    <author>Sean Grossberg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卟䙄_x0001_＀＀嘊偉)䵕児䥞彃卅䥔䅍䕔䔨卐䴬䅅ⱎ乁ⱎ〲㌱㐬ㄱ㠵착_x0018_＀＀_x0018_＀＀_x0008_＀＀_x0001_＀＀_x0001_＀＀炤਽ꏗ㿬䃤偉_x0012_䵃幁彐剐䍉⡅〴㤷⤳_x0018_＀＀_x0018_＀＀_x0008_＀＀_x0001_＀＀_x0001_＀＀휊炣訽䀷嘊偉(䍔幂䍉䕟呓䵉呁⡅偅ⱓ䕍乁䄬乎㈬㄰ⰲㄴ㔱⤸_x0018_＀＀_x0018_＀＀_x0008_＀＀_x0001_＀＀_x0001_＀＀⋐率뿲嘋偉)呓䅓䥞彃卅䥔䅍䕔䔨卐䴬䅅ⱎ乁ⱎ〲㈱㐬ㄱ㠵착_x0018_＀＀_x0018_＀＀_x0008_＀＀_x0001_＀＀_x0001_＀＀슐⣵轜䀙嘉偉_x001B_䵈呓偞䵟呋噟䱁㐨ㄱ㠵Ⱜ唬䑓착_x0018_＀＀_x0018_＀＀_x0008_＀＀_x0001_＀＀_x0001_＀＀鞍ቮ⺃䁰䃣偉)乆䝆䥞彄卅䥔䅍䕔䔨卐䴬䅅ⱎ乁ⱎ〲㌱〬Ⱜ〬착_x0018_＀＀_x0018_＀＀_x0008_＀＀_x0001_＀＀_x0001_＀＀ᑺ䞮㿩嘉偉(呓幉䍉䕟呓䵉呁⡅偅ⱓ䕍乁䄬乎㈬㄰ⰴㄴ㔱⤸_x0018_＀＀_x0018_＀＀_x0008_＀＀_x0001_＀＀_x0001_＀＀_xDD2F_ؤ閁䀈噡偊_x0013_呓䅂偞偟䥒䕃㐨㤰㤰착_x0018_＀＀_x0018_＀＀_x0008_＀＀_x0001_＀＀_x0001_＀＀쳍쳌賌䀳嘊偉)啓兓䥞彃卅䥔䅍䕔䔨卐䴬䅅ⱎ乁ⱎ〲㌱㐬ㄱ㠵착_x0018_＀＀_x0018_＀＀_x0008_＀＀_x0001_＀＀_x0001_＀＀譄ꧻ㿭噟偊_x0012_塂幓彐剐䍉⡅ㄴ㔱⤹_x0018_＀＀_x0018_＀＀_x0008_＀＀_x0001_＀＀_x0001_＀＀＀＀＀＀耀䀮噡偊(佂幈䍉䕟呓䵉呁⡅偅ⱓ䕍乁䄬乎㈬㄰ⰴㄴ㔱⤹_x0018_＀＀_x0018_＀＀_x0008_＀＀_x0001_＀＀_x0001_＀＀晧晦晦䀌嘋偉)䉕䥓䥞彃卅䥔䅍䕔䔨卐䴬䅅ⱎ乁ⱎ〲㐱㐬ㄱ㠵착_x0018_＀＀_x0018_＀＀_x0008_＀＀_x0001_＀＀_x0001_＀＀ᑻ䞮竡㿼嘋偉)乐偆䥞彃卅䥔䅍䕔䔨卐䴬䅅ⱎ乁ⱎ〲㌱㐬ㄱ㠵착_x0018_＀＀_x0018_＀＀_x0008_＀＀_x0001_＀＀_x0001_＀＀凬Ẹ㿳噡偊)䵆剅䥞彃卅䥔䅍䕔䔨卐䴬䅅ⱎ乁ⱎ〲㈱㐬ㄱ㤵착_x0018_＀＀_x0018_＀＀_x0008_＀＀_x0001_＀＀_x0001_＀＀롑蔞㿳嘉偉_x001A_䉗幓彐䭍彔䅖⡌ㄴ㔱ⰸⰬ单⥄_x0018_＀＀_x0018_＀＀_x0008_＀＀_x0001_＀＀_x0001_＀＀됺盈諭䂞噢偊)噃䙂䥞彃卅䥔䅍䕔䔨卐䴬䅅ⱎ乁ⱎ〲㈱㐬ㄱ㤵착_x0018_＀＀_x0018_＀＀_x0008_＀＀_x0001_＀＀_x0001_＀＀炤਽ꏗ㿨噠偊_x001A_千幅彐䭍彔䅖⡌ㄴ㔱ⰹⰬ单⥄_x0018_＀＀_x0018_＀＀_x0008_＀＀_x0001_＀＀_x0001_＀＀뀡桲㒑䂙䃤偉_x0013_䉈䍈偞偟䥒䕃㐨㜰㌹착_x0018_＀＀_x0018_＀＀_x0008_＀＀_x0001_＀＀_x0001_＀＀炤਽ꏗ䀽嘋偉)䍔䥂䥞彃卅䥔䅍䕔䔨卐䴬䅅ⱎ乁ⱎ〲㐱㐬ㄱ㠵착_x0018_＀＀_x0018_＀＀_x0008_＀＀_x0001_＀＀_x0001_＀＀_xDF3C_赏溗䀊噡偊)䵕䙂䥞彃卅䥔䅍䕔䔨卐䴬䅅ⱎ乁ⱎ〲㐱㐬ㄱ㤵착_x0018_＀＀_x0018_＀＀_x0008_＀＀_x0001_＀＀_x0001_＀＀㌳㌳㌳䀍嘊偉_x001B_䡃䍆偞䵟呋噟䱁㐨ㄱ㠵Ⱜ唬䑓착_x0018_＀＀_x0018_＀＀_x0008_＀＀_x0001_＀＀_x0001_＀＀殺契疠䂄嘊偉_x001B_䉂乃偞䵟呋噟䱁㐨ㄱ㠵Ⱜ唬䑓착_x0018_＀＀_x0018_＀＀_x0008_＀＀_x0001_＀＀_x0001_＀＀횢䂎嘉偉_x0012_乓幖彐剐䍉⡅ㄴ㔱⤸_x0018_＀＀_x0018_＀＀_x0008_＀＀_x0001_＀＀_x0001_＀＀⣶轜䀂嘋偉(䅗幌䍉䕟呓䵉呁⡅偅ⱓ䕍乁䄬乎㈬㄰ⰳㄴ㔱⤸_x0018_＀＀_x0018_＀＀_x0008_＀＀_x0001_＀＀_x0001_＀＀炤਽ꏗ㿨噞偊_x0013_十䍂偞偟䥒䕃㐨ㄱ㤵착_x0018_＀＀_x0018_＀＀_x0008_＀＀_x0001_＀＀_x0001_＀＀쳍쳌䳌䀪嘊偉_x0012_䙐幓彐剐䍉⡅ㄴ㔱⤸_x0018_＀＀_x0018_＀＀_x0008_＀＀_x0001_＀＀_x0001_＀＀凬Ẹ殅䀯噢偊)䥆䭂䥞彃卅䥔䅍䕔䔨卐䴬䅅ⱎ乁ⱎ〲㐱㐬ㄱ㤵착_x0018_＀＀_x0018_＀＀_x0008_＀＀_x0001_＀＀_x0001_＀＀＀＀＀＀＀＀㿶䃤偉_x0013_䅃奔偞偟䥒䕃㐨㜰㌹착_x0018_＀＀_x0018_＀＀_x0008_＀＀_x0001_＀＀_x0001_＀＀슐⣵轜䀨嘉偉_x001B_䵕児偞䵟呋噟䱁㐨ㄱ㠵Ⱜ唬䑓착_x0018_＀＀_x0018_＀＀_x0008_＀＀_x0001_＀＀_x0001_＀＀䞮竡隔䂖噡偊(䡆幎䍉䕟呓䵉呁⡅偅ⱓ䕍乁䄬乎㈬㄰ⰲㄴ㔱⤹_x0018_＀＀_x0018_＀＀_x0008_＀＀_x0001_＀＀_x0001_＀＀ꧼ틱才㽐䃤偉_x0012_千幅彐剐䍉⡅〴㤷⤳_x0018_＀＀_x0018_＀＀_x0008_＀＀_x0001_＀＀_x0001_＀＀ਾꏗ㵰䀚䃤偉_x0012_䭂幕彐剐䍉⡅〴㤷⤳_x0018_＀＀_x0018_＀＀_x0008_＀＀_x0001_＀＀_x0001_＀＀ᑻ䞮﫡䀶噝偊_x0012_呍幂彐剐䍉⡅〴〹⤹_x0018_＀＀_x0018_＀＀_x0008_＀＀_x0001_＀＀_x0001_＀＀⣶轜ᗂ䁓嘋偉(乆幂䍉䕟呓䵉呁⡅偅ⱓ䕍乁䄬乎㈬㄰ⰳㄴ㔱⤸_x0018_＀＀_x0018_＀＀_x0008_＀＀_x0001_＀＀_x0001_＀＀尩슏⣵㿬噞偊)䥆䉔䥞彃卅䥔䅍䕔䔨卐䴬䅅ⱎ乁ⱎ〲㐱㐬ㄱ㤵착_x0018_＀＀_x0018_＀＀_x0008_＀＀_x0001_＀＀_x0001_＀＀竡긔㿺嘋偉)呓䅂䥞彃卅䥔䅍䕔䔨卐䴬䅅ⱎ乁ⱎ〲㐱㐬ㄱ㠵착_x0018_＀＀_x0018_＀＀_x0008_＀＀_x0001_＀＀_x0001_＀＀馚香香㿹嘋偉)婏䭒䥞彃卅䥔䅍䕔䔨卐䴬䅅ⱎ乁ⱎ〲㈱㐬ㄱ㠵착_x0018_＀＀_x0018_＀＀_x0008_＀＀_x0001_＀＀_x0001_＀＀㽽帵䦺䀁噞偊(䕋幙䍉䕟呓䵉呁⡅偅ⱓ䕍乁䄬乎㈬㄰ⰳㄴ㔱⤹_x0018_＀＀_x0018_＀＀_x0008_＀＀_x0001_＀＀_x0001_＀＀犰酨糭㿫噡偊_x0013_䍓呂偞偟䥒䕃㐨ㄱ㤵착_x0018_＀＀_x0018_＀＀_x0008_＀＀_x0001_＀＀_x0001_＀＀凬Ẹ讅䁄嘊偉_x0013_䉂乃偞偟䥒䕃㐨㤰㤰착_x0018_＀＀_x0018_＀＀_x0008_＀＀_x0001_＀＀_x0001_＀＀晧晦䀢噢偊)䍕䥂䥞彃卅䥔䅍䕔䔨卐䴬䅅ⱎ乁ⱎ〲㐱㐬ㄱ㤵착_x0018_＀＀_x0018_＀＀_x0008_＀＀_x0001_＀＀_x0001_＀＀凬Ẹ㿱噟偊_x001B_䉍䥆偞䵟呋噟䱁㐨ㄱ㤵Ⱜ唬䑓착_x0018_＀＀_x0018_＀＀_x0008_＀＀_x0001_＀＀_x0001_＀＀竡긔齇䂑噡偊_x0013_䉐呃偞偟䥒䕃㐨ㄱ㤵착_x0018_＀＀_x0018_＀＀_x0008_＀＀_x0001_＀＀_x0001_＀＀竡긔慇䀨噝偊_x001A_乓幖彐䭍彔䅖⡌ㄴ㔱ⰹⰬ单⥄_x0018_＀＀_x0018_＀＀_x0008_＀＀_x0001_＀＀_x0001_＀＀ꗤ쒛缠䂝䃤偉_x0012_䙏幇彐剐䍉⡅〴㤷⤳_x0018_＀＀_x0018_＀＀_x0008_＀＀_x0001_＀＀_x0001_＀＀蔟凫Ẹ䀥嘊偉_x001B_䍕䥂偞䵟呋噟䱁㐨ㄱ㠵Ⱜ唬䑓착_x0018_＀＀_x0018_＀＀_x0008_＀＀_x0001_＀＀_x0001_＀＀呡❒쪠䁾䃤偉_x0013_偎䍂偞偟䥒䕃㐨㜰㌹착_x0018_＀＀_x0018_＀＀_x0008_＀＀_x0001_＀＀_x0001_＀＀晧晦晦䀜嘉偉_x001B_剔䭍偞䵟呋噟䱁㐨ㄱ㠵Ⱜ唬䑓착_x0018_＀＀_x0018_＀＀_x0008_＀＀_x0001_＀＀_x0001_＀＀沋ﯧ䂘嘊偉_x0013_䅗䍂偞偟䥒䕃㐨㤰㤰착_x0018_＀＀_x0018_＀＀_x0008_＀＀_x0001_＀＀_x0001_＀＀㌴㌳䁅嘉偉'䙒䥞彃卅䥔䅍䕔䔨卐䴬䅅ⱎ乁ⱎ〲㐱㐬ㄱ㠵착_x0018_＀＀_x0018_＀＀_x0008_＀＀_x0001_＀＀_x0001_＀＀⋑率橾㿬噡偊)呗䍆䥞彃卅䥔䅍䕔䔨卐䴬䅅ⱎ乁ⱎ〲㐱㐬ㄱ㤵착_x0018_＀＀_x0018_＀＀_x0008_＀＀_x0001_＀＀_x0001_＀＀㝌䆉䀇噡偊)商呌䥞彃卅䥔䅍䕔䔨卐䴬䅅ⱎ乁ⱎ〲㈱㐬ㄱ㤵착_x0018_＀＀_x0018_＀＀_x0008_＀＀_x0001_＀＀_x0001_＀＀桳㽼㿩嘉偉_x001A_䙃幒彐䭍彔䅖⡌ㄴ㔱ⰸⰬ单⥄_x0018_＀＀_x0018_＀＀_x0008_＀＀_x0001_＀＀_x0001_＀＀鍵И꩖䂫嘋偉)剔䭍䥞彃卅䥔䅍䕔䔨卐䴬䅅ⱎ乁ⱎ〲㐱㐬ㄱ㠵착_x0018_＀＀_x0018_＀＀_x0008_＀＀_x0001_＀＀_x0001_＀＀Ẹ롑㿾嘋偉)坎䥂䥞彃卅䥔䅍䕔䔨卐䴬䅅ⱎ乁ⱎ〲㐱㐬ㄱ㠵착_x0018_＀＀_x0018_＀＀_x0008_＀＀_x0001_＀＀_x0001_＀＀롑蔞㿫噠偊_x0012_剐幋彐剐䍉⡅ㄴ㔱⤹_x0018_＀＀_x0018_＀＀_x0008_＀＀_x0001_＀＀_x0001_＀＀䞮竡渔䁑噞偊)䉈乁䥞彃卅䥔䅍䕔䔨卐䴬䅅ⱎ乁ⱎ〲㌱㐬ㄱ㤵착_x0018_＀＀_x0018_＀＀_x0008_＀＀_x0001_＀＀_x0001_＀＀ﷴ磔⛩㿥噜偊_x0013_䉉䍋偞偟䥒䕃㐨ㄱ㤵착_x0018_＀＀_x0018_＀＀_x0008_＀＀_x0001_＀＀_x0001_＀＀馚香ᦙ䁈䃤偉_x0013_噐䉔偞偟䥒䕃㐨㜰㌹착_x0018_＀＀_x0018_＀＀_x0008_＀＀_x0001_＀＀_x0001_＀＀竡긔慇䀠嘉偉(䵃幁䍉䕟呓䵉呁⡅偅ⱓ䕍乁䄬乎㈬㄰ⰲㄴ㔱⤸_x0018_＀＀_x0018_＀＀_x0008_＀＀_x0001_＀＀_x0001_＀＀ᑻ䞮竡䀅䃤偉_x0013_䥆䉔偞偟䥒䕃㐨㜰㌹착_x0018_＀＀_x0018_＀＀_x0008_＀＀_x0001_＀＀_x0001_＀＀晧晦䀤䃤偉_x0014_䥚乏䙞彇剐䍉⡅〴〹⤹_x0018_＀＀_x0018_＀＀_x0008_＀＀_x0001_＀＀_x0001_＀＀ᑺ䞮䀰嘊偉(䙃幒䍉䕟呓䵉呁⡅偅ⱓ䕍乁䄬乎㈬㄰ⰲㄴ㔱⤸_x0018_＀＀_x0018_＀＀_x0008_＀＀_x0001_＀＀_x0001_＀＀茓쫀䖡䀎嘊偉)䉍䥆䥞彃卅䥔䅍䕔䔨卐䴬䅅ⱎ乁ⱎ〲㐱㐬ㄱ㠵착_x0018_＀＀_x0018_＀＀_x0008_＀＀_x0001_＀＀_x0001_＀＀쫁䖡㿻嘋偉(䙏幇䍉䕟呓䵉呁⡅偅ⱓ䕍乁䄬乎㈬㄰ⰴㄴ㔱⤸_x0018_＀＀_x0018_＀＀_x0008_＀＀_x0001_＀＀_x0001_＀＀凬Ẹ㿽噡偊_x001B_佈䉍偞䵟呋噟䱁㐨ㄱ㤵Ⱜ唬䑓착_x0018_＀＀_x0018_＀＀_x0008_＀＀_x0001_＀＀_x0001_＀＀ꜝ器䂍噡偊_x001A_奎幂彐䭍彔䅖⡌ㄴ㔱ⰹⰬ单⥄_x0018_＀＀_x0018_＀＀_x0008_＀＀_x0001_＀＀_x0001_＀＀ﷴ磔峉䂷䃤偉_x0012_䱖幙彐剐䍉⡅〴㤷⤳_x0018_＀＀_x0018_＀＀_x0008_＀＀_x0001_＀＀_x0001_＀＀Ḙ뇻䀥嘋偉(剐幋䍉䕟呓䵉呁⡅偅ⱓ䕍乁䄬乎㈬㄰ⰳㄴ㔱⤸_x0018_＀＀_x0018_＀＀_x0008_＀＀_x0001_＀＀_x0001_＀＀俟鞍ቮ䀕嘋偉)佈䉍䥞彃卅䥔䅍䕔䔨卐䴬䅅ⱎ乁ⱎ〲㌱㐬ㄱ㠵착_x0018_＀＀_x0018_＀＀_x0008_＀＀_x0001_＀＀_x0001_＀＀Ẹ롑䀂噡偊(䉗幓䍉䕟呓䵉呁⡅偅ⱓ䕍乁䄬乎㈬㄰ⰳㄴ㔱⤹_x0018_＀＀_x0018_＀＀_x0008_＀＀_x0001_＀＀_x0001_＀＀⋐率㿼嘉偉_x001A_䉆幃彐䭍彔䅖⡌ㄴ㔱ⰸⰬ单⥄_x0018_＀＀_x0018_＀＀_x0008_＀＀_x0001_＀＀_x0001_＀＀禧⧇꠺䂀噢偊)䵕児䥞彃卅䥔䅍䕔䔨卐䴬䅅ⱎ乁ⱎ〲㌱㐬ㄱ㤵착_x0018_＀＀_x0018_＀＀_x0008_＀＀_x0001_＀＀_x0001_＀＀炤਽ꏗ㿬噡偊(䍔幂䍉䕟呓䵉呁⡅偅ⱓ䕍乁䄬乎㈬㄰ⰲㄴ㔱⤹_x0018_＀＀_x0018_＀＀_x0008_＀＀_x0001_＀＀_x0001_＀＀⋐率뿲䃤偉_x0013_䍐䍂偞偟䥒䕃㐨㜰㌹착_x0018_＀＀_x0018_＀＀_x0008_＀＀_x0001_＀＀_x0001_＀＀＀＀＀＀쀀䀹嘊偉_x0013_䅐坃偞偟䥒䕃㐨㤰㤰착_x0018_＀＀_x0018_＀＀_x0008_＀＀_x0001_＀＀_x0001_＀＀㌳㌳䀲嘋偉)䵆䥂䥞彃卅䥔䅍䕔䔨卐䴬䅅ⱎ乁ⱎ〲㌱㐬ㄱ㠵착_x0018_＀＀_x0018_＀＀_x0008_＀＀_x0001_＀＀_x0001_＀＀鮥㿬嘋偉(䍆幆䍉䕟呓䵉呁⡅偅ⱓ䕍乁䄬乎㈬㄰ⰴㄴ㔱⤸_x0018_＀＀_x0018_＀＀_x0008_＀＀_x0001_＀＀_x0001_＀＀凬Ẹ㿡噡偊)啓兓䥞彃卅䥔䅍䕔䔨卐䴬䅅ⱎ乁ⱎ〲㌱㐬ㄱ㤵착_x0018_＀＀_x0018_＀＀_x0008_＀＀_x0001_＀＀_x0001_＀＀譄ꧻ㿭噞偊(呓幉䍉䕟呓䵉呁⡅偅ⱓ䕍乁䄬乎㈬㄰ⰴㄴ㔱⤹_x0018_＀＀_x0018_＀＀_x0008_＀＀_x0001_＀＀_x0001_＀＀_xDD2F_ؤ閁䀈䃤偉_x0013_䵕䙂偞偟䥒䕃㐨㜰㌹착_x0018_＀＀_x0018_＀＀_x0008_＀＀_x0001_＀＀_x0001_＀＀晧晦虦䁂䃤偉_x0013_坅䍂偞偟䥒䕃㐨㜰㌹착_x0018_＀＀_x0018_＀＀_x0008_＀＀_x0001_＀＀_x0001_＀＀䞮竡⸔䀰嘊偉_x0013_䉎䉔偞偟䥒䕃㐨㤰㤰착_x0018_＀＀_x0018_＀＀_x0008_＀＀_x0001_＀＀_x0001_＀＀竡긔ⅇ䀶噢偊)乐偆䥞彃卅䥔䅍䕔䔨卐䴬䅅ⱎ乁ⱎ〲㌱㐬ㄱ㤵착_x0018_＀＀_x0018_＀＀_x0008_＀＀_x0001_＀＀_x0001_＀＀凬Ẹ㿳噢偊)䉕䥓䥞彃卅䥔䅍䕔䔨卐䴬䅅ⱎ乁ⱎ〲㐱㐬ㄱ㤵착_x0018_＀＀_x0018_＀＀_x0008_＀＀_x0001_＀＀_x0001_＀＀ᑻ䞮竡㿼䃤偉_x0013_䉍䥆偞偟䥒䕃㐨㜰㌹착_x0018_＀＀_x0018_＀＀_x0008_＀＀_x0001_＀＀_x0001_＀＀ᑻ䞮﫡䀯嘉偉_x001B_䉓奎偞䵟呋噟䱁㐨ㄱ㠵Ⱜ唬䑓착_x0018_＀＀_x0018_＀＀_x0008_＀＀_x0001_＀＀_x0001_＀＀凬Ẹ佅䂧嘊偉)䉃䡓䥞彃卅䥔䅍䕔䔨卐䴬䅅ⱎ乁ⱎ〲㌱㐬ㄱ㠵착_x0018_＀＀_x0018_＀＀_x0008_＀＀_x0001_＀＀_x0001_＀＀率橾璼䀈噢偊)䍔䥂䥞彃卅䥔䅍䕔䔨卐䴬䅅ⱎ乁ⱎ〲㐱㐬ㄱ㤵착_x0018_＀＀_x0018_＀＀_x0008_＀＀_x0001_＀＀_x0001_＀＀_xDF3C_赏溗䀊䃤偉_x0013_䵆剅偞偟䥒䕃㐨㜰㌹착_x0018_＀＀_x0018_＀＀_x0008_＀＀_x0001_＀＀_x0001_＀＀롑Ԟ䀨噢偊(䅗幌䍉䕟呓䵉呁⡅偅ⱓ䕍乁䄬乎㈬㄰ⰳㄴ㔱⤹_x0018_＀＀_x0018_＀＀_x0008_＀＀_x0001_＀＀_x0001_＀＀炤਽ꏗ㿨噟偊_x001B_䵆剅偞䵟呋噟䱁㐨ㄱ㤵Ⱜ唬䑓착_x0018_＀＀_x0018_＀＀_x0008_＀＀_x0001_＀＀_x0001_＀＀犰酨⡭䂝噝偊_x0012_乓幖彐剐䍉⡅ㄴ㔱⤹_x0018_＀＀_x0018_＀＀_x0008_＀＀_x0001_＀＀_x0001_＀＀㌴㌳㌳䀃嘋偉)䉎䉔䥞彃卅䥔䅍䕔䔨卐䴬䅅ⱎ乁ⱎ〲㐱㐬ㄱ㠵착_x0018_＀＀_x0018_＀＀_x0008_＀＀_x0001_＀＀_x0001_＀＀豀碵꼝쐕嘉偉_x0014_䉃奃幂彐剐䍉⡅ㄴ㔱⤸_x0018_＀＀_x0018_＀＀_x0008_＀＀_x0001_＀＀_x0001_＀＀＀＀＀＀倀䁴䃡偉_x0014_䉃䡓䙞彇剐䍉⡅〴〹⤹_x0018_＀＀_x0018_＀＀_x0008_＀＀_x0001_＀＀_x0001_＀＀슏⣵ཛྷ䁃噢偊)呓䅂䥞彃卅䥔䅍䕔䔨卐䴬䅅ⱎ乁ⱎ〲㐱㐬ㄱ㤵착_x0018_＀＀_x0018_＀＀_x0008_＀＀_x0001_＀＀_x0001_＀＀馚香香㿹嘉偉)䵈呓䥞彃卅䥔䅍䕔䔨卐䴬䅅ⱎ乁ⱎ〲㌱㐬ㄱ㠵착_x0018_＀＀_x0018_＀＀_x0008_＀＀_x0001_＀＀_x0001_＀＀晧晦晦䀙嘊偉(佂幈䍉䕟呓䵉呁⡅偅ⱓ䕍乁䄬乎㈬㄰ⰲㄴ㔱⤸_x0018_＀＀_x0018_＀＀_x0008_＀＀_x0001_＀＀_x0001_＀＀凬Ẹ䀌噢偊)婏䭒䥞彃卅䥔䅍䕔䔨卐䴬䅅ⱎ乁ⱎ〲㈱㐬ㄱ㤵착_x0018_＀＀_x0018_＀＀_x0008_＀＀_x0001_＀＀_x0001_＀＀㽽帵䦺䀁嘉偉_x001B_䥚乏偞䵟呋噟䱁㐨ㄱ㠵Ⱜ唬䑓착_x0018_＀＀_x0018_＀＀_x0008_＀＀_x0001_＀＀_x0001_＀＀긕扺䂬嘋偉)䙃乆䥞彃卅䥔䅍䕔䔨卐䴬䅅ⱎ乁ⱎ〲㐱㐬ㄱ㠵착_x0018_＀＀_x0018_＀＀_x0008_＀＀_x0001_＀＀_x0001_＀＀尩슏⣵㿜嘊偉'䉐䥞彃卅䥔䅍䕔䔨卐䴬䅅ⱎ乁ⱎ〲㐱㐬ㄱ㠵착_x0018_＀＀_x0018_＀＀_x0008_＀＀_x0001_＀＀_x0001_＀＀溘茒쫀䀌嘊偉)䵕䙂䥞彃卅䥔䅍䕔䔨卐䴬䅅ⱎ乁ⱎ〲㈱㐬ㄱ㠵착_x0018_＀＀_x0018_＀＀_x0008_＀＀_x0001_＀＀_x0001_＀＀ᢔ嘄ⴎ䀊噜偊_x0011_䉐偞偟䥒䕃㐨㤰㤰착_x0018_＀＀_x0018_＀＀_x0008_＀＀_x0001_＀＀_x0001_＀＀쳍쳌Ⳍ䁄嘊偉)䉓奎䥞彃卅䥔䅍䕔䔨卐䴬䅅ⱎ乁ⱎ〲㌱㐬ㄱ㠵착_x0018_＀＀_x0018_＀＀_x0008_＀＀_x0001_＀＀_x0001_＀＀溘茒쫀䀐噞偊'䙒䥞彃卅䥔䅍䕔䔨卐䴬䅅ⱎ乁ⱎ〲㐱㐬ㄱ㤵착_x0018_＀＀_x0018_＀＀_x0008_＀＀_x0001_＀＀_x0001_＀＀⋑率橾㿬嘊偉_x001B_偂䡆偞䵟呋噟䱁㐨ㄱ㠵Ⱜ唬䑓착_x0018_＀＀_x0018_＀＀_x0008_＀＀_x0001_＀＀_x0001_＀＀℮ⱬ䂈噢偊)坎䥂䥞彃卅䥔䅍䕔䔨卐䴬䅅ⱎ乁ⱎ〲㐱㐬ㄱ㤵착_x0018_＀＀_x0018_＀＀_x0008_＀＀_x0001_＀＀_x0001_＀＀롑蔞㿫噢偊)剔䭍䥞彃卅䥔䅍䕔䔨卐䴬䅅ⱎ乁ⱎ〲㐱㐬ㄱ㤵착_x0018_＀＀_x0018_＀＀_x0008_＀＀_x0001_＀＀_x0001_＀＀Ẹ롑㿾嘊偉_x001A_䍆幆彐䭍彔䅖⡌ㄴ㔱ⰸⰬ单⥄_x0018_＀＀_x0018_＀＀_x0008_＀＀_x0001_＀＀_x0001_＀＀㖩㯍쫎䂇嘉偉_x001B_䉉䍏偞䵟呋噟䱁㐨ㄱ㠵Ⱜ唬䑓착_x0018_＀＀_x0018_＀＀_x0008_＀＀_x0001_＀＀_x0001_＀＀鞍ቮ㸃䂔嘋偉(乏幂䍉䕟呓䵉呁⡅偅ⱓ䕍乁䄬乎㈬㄰ⰳㄴ㔱⤸_x0018_＀＀_x0018_＀＀_x0008_＀＀_x0001_＀＀_x0001_＀＀糮㔿멞㿱嘋偉)䥆䭂䥞彃卅䥔䅍䕔䔨卐䴬䅅ⱎ乁ⱎ〲㈱㐬ㄱ㠵착_x0018_＀＀_x0018_＀＀_x0008_＀＀_x0001_＀＀_x0001_＀＀롒蔞凫㿲噞偊(䵃幁䍉䕟呓䵉呁⡅偅ⱓ䕍乁䄬乎㈬㄰ⰲㄴ㔱⤹_x0018_＀＀_x0018_＀＀_x0008_＀＀_x0001_＀＀_x0001_＀＀ᑻ䞮竡䀅䃤偉_x0013_䥆乎偞偟䥒䕃㐨㜰㌹착_x0018_＀＀_x0018_＀＀_x0008_＀＀_x0001_＀＀_x0001_＀＀＀＀＀＀䂦䃤偉_x0014_䉈乁䙞彇剐䍉⡅〴〹⤹_x0018_＀＀_x0018_＀＀_x0008_＀＀_x0001_＀＀_x0001_＀＀⣶轜䀕噝偊(䙃幒䍉䕟呓䵉呁⡅偅ⱓ䕍乁䄬乎㈬㄰ⰲㄴ㔱⤹_x0018_＀＀_x0018_＀＀_x0008_＀＀_x0001_＀＀_x0001_＀＀茓쫀䖡䀎䃤偉_x0013_坎䥂偞偟䥒䕃㐨㜰㌹착_x0018_＀＀_x0018_＀＀_x0008_＀＀_x0001_＀＀_x0001_＀＀㵱휊䀧䃢偉_x0014_乆䝆䙞彇剐䍉⡅〴〹⤹_x0018_＀＀_x0018_＀＀_x0008_＀＀_x0001_＀＀_x0001_＀＀尨䊏䀡嘉偉_x0012_䉆幐彐剐䍉⡅〴〹⤹_x0018_＀＀_x0018_＀＀_x0008_＀＀_x0001_＀＀_x0001_＀＀凬Ẹ䀋嘉偉)䥆䉔䥞彃卅䥔䅍䕔䔨卐䴬䅅ⱎ乁ⱎ〲㈱㐬ㄱ㠵착_x0018_＀＀_x0018_＀＀_x0008_＀＀_x0001_＀＀_x0001_＀＀롑蔞㿹嘋偉)䅗䍂䥞彃卅䥔䅍䕔䔨卐䴬䅅ⱎ乁ⱎ〲㌱㐬ㄱ㠵착_x0018_＀＀_x0018_＀＀_x0008_＀＀_x0001_＀＀_x0001_＀＀쫁䖡䀈噢偊)䉍䥆䥞彃卅䥔䅍䕔䔨卐䴬䅅ⱎ乁ⱎ〲㐱㐬ㄱ㤵착_x0018_＀＀_x0018_＀＀_x0008_＀＀_x0001_＀＀_x0001_＀＀쫁䖡㿻嘉偉_x0012_䉆幃彐剐䍉⡅ㄴ㔱⤸_x0018_＀＀_x0018_＀＀_x0008_＀＀_x0001_＀＀_x0001_＀＀Ẹ롑㿮嘉偉_x001A_佂幈彐䭍彔䅖⡌ㄴ㔱ⰸⰬ单⥄_x0018_＀＀_x0018_＀＀_x0008_＀＀_x0001_＀＀_x0001_＀＀갈娜폤䂠噢偊)佈䉍䥞彃卅䥔䅍䕔䔨卐䴬䅅ⱎ乁ⱎ〲㌱㐬ㄱ㤵착_x0018_＀＀_x0018_＀＀_x0008_＀＀_x0001_＀＀_x0001_＀＀Ẹ롑䀂噢偊(剐幋䍉䕟呓䵉呁⡅偅ⱓ䕍乁䄬乎㈬㄰ⰳㄴ㔱⤹_x0018_＀＀_x0018_＀＀_x0008_＀＀_x0001_＀＀_x0001_＀＀俟鞍ቮ䀕噟偊_x001B_商呌偞䵟呋噟䱁㐨ㄱ㤵Ⱜ唬䑓착_x0018_＀＀_x0018_＀＀_x0008_＀＀_x0001_＀＀_x0001_＀＀퓾羦䂟嘉偉_x001B_䉈䍈偞䵟呋噟䱁㐨ㄱ㠵Ⱜ唬䑓착_x0018_＀＀_x0018_＀＀_x0008_＀＀_x0001_＀＀_x0001_＀＀赐溗壒䂤嘋偉)䍕䥂䥞彃卅䥔䅍䕔䔨卐䴬䅅ⱎ乁ⱎ〲㈱㐬ㄱ㠵착_x0018_＀＀_x0018_＀＀_x0008_＀＀_x0001_＀＀_x0001_＀＀Ẹ롑㿞噡偊_x001B_䉐呃偞䵟呋噟䱁㐨ㄱ㤵Ⱜ唬䑓착_x0018_＀＀_x0018_＀＀_x0008_＀＀_x0001_＀＀_x0001_＀＀譄맛䂰噠偊_x001B_䍔䥂偞䵟呋噟䱁㐨ㄱ㤵Ⱜ唬䑓착_x0018_＀＀_x0018_＀＀_x0008_＀＀_x0001_＀＀_x0001_＀＀욨㝋眉䂝嘋偉)䍆乂䥞彃卅䥔䅍䕔䔨卐䴬䅅ⱎ乁ⱎ〲㐱㐬ㄱ㠵착_x0014_＀＀_x0018_＀＀_x0004_＀＀_x0001_＀＀_x0003_＀＀＀＀耀噢偊)䵆䥂䥞彃卅䥔䅍䕔䔨卐䴬䅅ⱎ乁ⱎ〲㌱㐬ㄱ㤵착_x0018_＀＀_x0018_＀＀_x0008_＀＀_x0001_＀＀_x0001_＀＀鮥㿬嘊偉)呗䍆䥞彃卅䥔䅍䕔䔨卐䴬䅅ⱎ乁ⱎ〲㈱㐬ㄱ㠵착_x0018_＀＀_x0018_＀＀_x0008_＀＀_x0001_＀＀_x0001_＀＀_xDB23_绹뱪䀀噟偊_x001A_乏幂彐䭍彔䅖⡌ㄴ㔱ⰹⰬ单⥄_x0018_＀＀_x0018_＀＀_x0008_＀＀_x0001_＀＀_x0001_＀＀尨䄏䂔䃤偉_x0014_䉉䍋䙞彇剐䍉⡅〴〹⤹_x0018_＀＀_x0018_＀＀_x0008_＀＀_x0001_＀＀_x0001_＀＀晦晦Ꙧ䁈嘉偉_x0013_䅗䑆偞偟䥒䕃㐨㤰㤰착_x0018_＀＀_x0018_＀＀_x0008_＀＀_x0001_＀＀_x0001_＀＀ᑻ䞮﫡䀫嘋偉)剔䭍䥞彃卅䥔䅍䕔䔨卐䴬䅅ⱎ乁ⱎ〲㈱㐬ㄱ㠵착_x0018_＀＀_x0018_＀＀_x0008_＀＀_x0001_＀＀_x0001_＀＀ㄦ갈㿼嘊偉(塂幓䍉䕟呓䵉呁⡅偅ⱓ䕍乁䄬乎㈬㄰ⰴㄴ㔱⤸_x0018_＀＀_x0018_＀＀_x0008_＀＀_x0001_＀＀_x0001_＀＀긕ᑺ㿮嘋偉)坎䥂䥞彃卅䥔䅍䕔䔨卐䴬䅅ⱎ乁ⱎ〲㈱㐬ㄱ㠵착_x0018_＀＀_x0018_＀＀_x0008_＀＀_x0001_＀＀_x0001_＀＀譄ꧻ㿥䃤偉_x0013_偂䡆偞偟䥒䕃㐨㜰㌹착_x0018_＀＀_x0018_＀＀_x0008_＀＀_x0001_＀＀_x0001_＀＀轜尨䀗噟偊_x001B_啓兓偞䵟呋噟䱁㐨ㄱ㤵Ⱜ唬䑓착_x0018_＀＀_x0018_＀＀_x0008_＀＀_x0001_＀＀_x0001_＀＀휊炣﮽䂟嘊偉_x001B_䥆䭂偞䵟呋噟䱁㐨ㄱ㠵Ⱜ唬䑓착_x0018_＀＀_x0018_＀＀_x0008_＀＀_x0001_＀＀_x0001_＀＀尩슏鳵䁮嘊偉_x0012_䅗幌彐剐䍉⡅ㄴ㔱⤸_x0018_＀＀_x0018_＀＀_x0008_＀＀_x0001_＀＀_x0001_＀＀슏⣵ཛྷ䀣噝偊_x001A_䕋幙彐䭍彔䅖⡌ㄴ㔱ⰹⰬ单⥄_x0018_＀＀_x0018_＀＀_x0008_＀＀_x0001_＀＀_x0001_＀＀꟰䯆묷䂿噝偊)䉃䡓䥞彃卅䥔䅍䕔䔨卐䴬䅅ⱎ乁ⱎ〲㌱㐬ㄱ㤵착_x0018_＀＀_x0018_＀＀_x0008_＀＀_x0001_＀＀_x0001_＀＀率橾璼䀈嘊偉_x001B_䙂䙃偞䵟呋噟䱁㐨ㄱ㠵Ⱜ唬䑓착_x0018_＀＀_x0018_＀＀_x0008_＀＀_x0001_＀＀_x0001_＀＀輞ꠙ䎌䁉嘉偉_x0013_䉕䥓偞偟䥒䕃㐨ㄱ㠵착_x0018_＀＀_x0018_＀＀_x0008_＀＀_x0001_＀＀_x0001_＀＀롑蔞䀸嘉偉_x0013_䉈乁偞偟䥒䕃㐨ㄱ㠵착_x0018_＀＀_x0018_＀＀_x0008_＀＀_x0001_＀＀_x0001_＀＀凬Ẹ殅䀚噠偊_x001A_䉃幕彐䭍彔䅖⡌ㄴ㔱ⰹⰬ单⥄_x0018_＀＀_x0018_＀＀_x0008_＀＀_x0001_＀＀_x0001_＀＀凬Ẹ䂑嘉偉_x0013_呓䅓偞偟䥒䕃㐨㤰㤰착_x0018_＀＀_x0018_＀＀_x0008_＀＀_x0001_＀＀_x0001_＀＀㌳㌳댳䀰噡偊_x001B_䍓呂偞䵟呋噟䱁㐨ㄱ㤵Ⱜ唬䑓착_x0018_＀＀_x0018_＀＀_x0008_＀＀_x0001_＀＀_x0001_＀＀㌳㌳憳䂃嘉偉_x001B_䙃乆偞䵟呋噟䱁㐨ㄱ㠵Ⱜ唬䑓착_x0018_＀＀_x0018_＀＀_x0008_＀＀_x0001_＀＀_x0001_＀＀㭥俟禍䂝䃣偉(奎幂䑉䕟呓䵉呁⡅偅ⱓ䕍乁䄬乎㈬㄰ⰳⰰⰬ⤰_x0018_＀＀_x0018_＀＀_x0008_＀＀_x0001_＀＀_x0001_＀＀ꛫ힔ꡊ㿰噟偊_x0013_商呌偞偟䥒䕃㐨㤰㤰착_x0018_＀＀_x0018_＀＀_x0008_＀＀_x0001_＀＀_x0001_＀＀蔟凫麸䀣噠偊_x0013_噃䙂偞偟䥒䕃㐨㤰㤰착_x0018_＀＀_x0018_＀＀_x0008_＀＀_x0001_＀＀_x0001_＀＀슏⣵ཛྷ䀤嘊偉_x0013_䉇䥃偞偟䥒䕃㐨ㄱ㠵착_x0018_＀＀_x0018_＀＀_x0008_＀＀_x0001_＀＀_x0001_＀＀ẹ롑䀯嘋偉)乆䝆䥞彃卅䥔䅍䕔䔨卐䴬䅅ⱎ乁ⱎ〲㐱㐬ㄱ㠵착_x0018_＀＀_x0018_＀＀_x0008_＀＀_x0001_＀＀_x0001_＀＀_xDD2F_ؤ閁㿫噝偊_x0012_䕋幙彐剐䍉⡅〴〹⤹_x0018_＀＀_x0018_＀＀_x0008_＀＀_x0001_＀＀_x0001_＀＀尨슏䀞嘉偉(呓幉䍉䕟呓䵉呁⡅偅ⱓ䕍乁䄬乎㈬㄰ⰲㄴ㔱⤸_x0018_＀＀_x0018_＀＀_x0008_＀＀_x0001_＀＀_x0001_＀＀쫁䖡㿿嘊偉(䉆幐䍉䕟呓䵉呁⡅偅ⱓ䕍乁䄬乎㈬㄰ⰴㄴ㔱⤸_x0018_＀＀_x0018_＀＀_x0008_＀＀_x0001_＀＀_x0001_＀＀ᑻ䞮竡㿔噡偊(佂幈䍉䕟呓䵉呁⡅偅ⱓ䕍乁䄬乎㈬㄰ⰲㄴ㔱⤹_x0018_＀＀_x0018_＀＀_x0008_＀＀_x0001_＀＀_x0001_＀＀凬Ẹ䀌噝偊)䵈呓䥞彃卅䥔䅍䕔䔨卐䴬䅅ⱎ乁ⱎ〲㌱㐬ㄱ㤵착_x0018_＀＀_x0018_＀＀_x0008_＀＀_x0001_＀＀_x0001_＀＀晧晦晦䀙嘋偉)䉕䥓䥞彃卅䥔䅍䕔䔨卐䴬䅅ⱎ乁ⱎ〲㈱㐬ㄱ㠵착_x0018_＀＀_x0018_＀＀_x0008_＀＀_x0001_＀＀_x0001_＀＀롑蔞㿻噢偊'䉐䥞彃卅䥔䅍䕔䔨卐䴬䅅ⱎ乁ⱎ〲㐱㐬ㄱ㤵착_x0018_＀＀_x0018_＀＀_x0008_＀＀_x0001_＀＀_x0001_＀＀溘茒쫀䀌䃤偉_x0013_䉂幔䝆偟䥒䕃㐨㤰㤰착_x0018_＀＀_x0018_＀＀_x0008_＀＀_x0001_＀＀_x0001_＀＀凬Ẹ⮅䀹嘋偉)䍔䥂䥞彃卅䥔䅍䕔䔨卐䴬䅅ⱎ乁ⱎ〲㈱㐬ㄱ㠵착_x0018_＀＀_x0018_＀＀_x0008_＀＀_x0001_＀＀_x0001_＀＀쫁䖡䀇嘋偉)䉐呃䥞彃卅䥔䅍䕔䔨卐䴬䅅ⱎ乁ⱎ〲㌱㐬ㄱ㠵착_x0018_＀＀_x0018_＀＀_x0008_＀＀_x0001_＀＀_x0001_＀＀됺盈龾㿪噡偊)䵕䙂䥞彃卅䥔䅍䕔䔨卐䴬䅅ⱎ乁ⱎ〲㈱㐬ㄱ㤵착_x0018_＀＀_x0018_＀＀_x0008_＀＀_x0001_＀＀_x0001_＀＀ᢔ嘄ⴎ䀊䃤偉_x0012_呍幂彐剐䍉⡅〴㤷⤳_x0018_＀＀_x0018_＀＀_x0008_＀＀_x0001_＀＀_x0001_＀＀⣶轜䁒嘉偉(呍幂䍉䕟呓䵉呁⡅偅ⱓ䕍乁䄬乎㈬㄰ⰴㄴ㔱⤸_x0018_＀＀_x0018_＀＀_x0008_＀＀_x0001_＀＀_x0001_＀＀컙号䀠噡偊)䉓奎䥞彃卅䥔䅍䕔䔨卐䴬䅅ⱎ乁ⱎ〲㌱㐬ㄱ㤵착_x0018_＀＀_x0018_＀＀_x0008_＀＀_x0001_＀＀_x0001_＀＀溘茒쫀䀐噟偊_x0013_呗䍆偞偟䥒䕃㐨㤰㤰착_x0018_＀＀_x0018_＀＀_x0008_＀＀_x0001_＀＀_x0001_＀＀쳍쳌ೌ䀼嘋偉)䙂䙃䥞彃卅䥔䅍䕔䔨卐䴬䅅ⱎ乁ⱎ〲㐱㐬ㄱ㠵착_x0018_＀＀_x0018_＀＀_x0008_＀＀_x0001_＀＀_x0001_＀＀豀碵꼝쐕嘊偉_x0013_䙂䙃偞偟䥒䕃㐨ㄱ㠵착_x0018_＀＀_x0018_＀＀_x0008_＀＀_x0001_＀＀_x0001_＀＀帵䦺Ȍ㿧嘊偉)䥓䉖䥞彃卅䥔䅍䕔䔨卐䴬䅅ⱎ乁ⱎ〲㐱㐬ㄱ㠵착_x0018_＀＀_x0018_＀＀_x0008_＀＀_x0001_＀＀_x0001_＀＀갈娜㭤䀐噢偊)䥆䭂䥞彃卅䥔䅍䕔䔨卐䴬䅅ⱎ乁ⱎ〲㈱㐬ㄱ㤵착_x0018_＀＀_x0018_＀＀_x0008_＀＀_x0001_＀＀_x0001_＀＀롒蔞凫㿲噢偊(乏幂䍉䕟呓䵉呁⡅偅ⱓ䕍乁䄬乎㈬㄰ⰳㄴ㔱⤹_x0018_＀＀_x0018_＀＀_x0008_＀＀_x0001_＀＀_x0001_＀＀糮㔿멞㿱噜偊_x001B_䉉䍋偞䵟呋噟䱁㐨ㄱ㤵Ⱜ唬䑓착_x0018_＀＀_x0018_＀＀_x0008_＀＀_x0001_＀＀_x0001_＀＀譄㟻䂖嘉偉_x001C_䉃奃幂彐䭍彔䅖⡌ㄴ㔱ⰸⰬ单⥄_x0018_＀＀_x0018_＀＀_x0008_＀＀_x0001_＀＀_x0001_＀＀＀＀＀＀＀＀＀＀嘉偉_x0013_䥓䉖偞偟䥒䕃㐨ㄱ㠵착_x0018_＀＀_x0018_＀＀_x0008_＀＀_x0001_＀＀_x0001_＀＀ਾꏗ嵰䁎嘊偉(䱖幙䍉䕟呓䵉呁⡅偅ⱓ䕍乁䄬乎㈬㄰ⰴㄴ㔱⤸_x0018_＀＀_x0018_＀＀_x0008_＀＀_x0001_＀＀_x0001_＀＀Й๖눭㿥䃤偉_x0013_䉂乃偞偟䥒䕃㐨㜰㌹착_x0018_＀＀_x0018_＀＀_x0008_＀＀_x0001_＀＀_x0001_＀＀竡긔䀛噞偊)䥆䉔䥞彃卅䥔䅍䕔䔨卐䴬䅅ⱎ乁ⱎ〲㈱㐬ㄱ㤵착_x0018_＀＀_x0018_＀＀_x0008_＀＀_x0001_＀＀_x0001_＀＀롑蔞㿹䃤偉_x0013_䅗䍂偞偟䥒䕃㐨㜰㌹착_x0018_＀＀_x0018_＀＀_x0008_＀＀_x0001_＀＀_x0001_＀＀쳍쳌泌䁄噟偊_x0012_塂幓彐剐䍉⡅〴〹⤹_x0018_＀＀_x0018_＀＀_x0008_＀＀_x0001_＀＀_x0001_＀＀휊炣਽䀦嘋偉)呓䅂䥞彃卅䥔䅍䕔䔨卐䴬䅅ⱎ乁ⱎ〲㈱㐬ㄱ㠵착_x0018_＀＀_x0018_＀＀_x0008_＀＀_x0001_＀＀_x0001_＀＀휊炣਽㿳嘊偉)䉈䍈䥞彃卅䥔䅍䕔䔨卐䴬䅅ⱎ乁ⱎ〲㐱㐬ㄱ㠵착_x0018_＀＀_x0018_＀＀_x0008_＀＀_x0001_＀＀_x0001_＀＀Წ摚_xDF3B_䀅嘊偉*䍆䍎幁䍉䕟呓䵉呁⡅偅ⱓ䕍乁䄬乎㈬㄰ⰳㄴ㔱⤸_x0018_＀＀_x0018_＀＀_x0008_＀＀_x0001_＀＀_x0001_＀＀豀碵꼝쐕噢偊)䍕䥂䥞彃卅䥔䅍䕔䔨卐䴬䅅ⱎ乁ⱎ〲㈱㐬ㄱ㤵착_x0018_＀＀_x0018_＀＀_x0008_＀＀_x0001_＀＀_x0001_＀＀Ẹ롑㿞嘊偉_x0012_䍆幆彐剐䍉⡅ㄴ㔱⤸_x0018_＀＀_x0018_＀＀_x0008_＀＀_x0001_＀＀_x0001_＀＀긕ᑺ䀝嘉偉_x0012_䍔幂彐剐䍉⡅ㄴ㔱⤸_x0018_＀＀_x0018_＀＀_x0008_＀＀_x0001_＀＀_x0001_＀＀ᑻ䞮﫡䀦䃤偉_x0013_䵃幁䝆偟䥒䕃㐨㤰㤰착_x0018_＀＀_x0018_＀＀_x0008_＀＀_x0001_＀＀_x0001_＀＀쳍쳌쳌䀹嘊偉)坅䍂䥞彃卅䥔䅍䕔䔨卐䴬䅅ⱎ乁ⱎ〲㌱㐬ㄱ㠵착_x0018_＀＀_x0018_＀＀_x0008_＀＀_x0001_＀＀_x0001_＀＀⋐率㿾嘉偉'䙒䥞彃卅䥔䅍䕔䔨卐䴬䅅ⱎ乁ⱎ〲㈱㐬ㄱ㠵착_x0018_＀＀_x0018_＀＀_x0008_＀＀_x0001_＀＀_x0001_＀＀퓽㿦噡偊)呗䍆䥞彃卅䥔䅍䕔䔨卐䴬䅅ⱎ乁ⱎ〲㈱㐬ㄱ㤵착_x0018_＀＀_x0018_＀＀_x0008_＀＀_x0001_＀＀_x0001_＀＀_xDB23_绹뱪䀀噞偊_x0013_十䍂偞偟䥒䕃㐨㤰㤰착_x0018_＀＀_x0018_＀＀_x0008_＀＀_x0001_＀＀_x0001_＀＀ꏗ㵰圊䀦噢偊)坎䥂䥞彃卅䥔䅍䕔䔨卐䴬䅅ⱎ乁ⱎ〲㈱㐬ㄱ㤵착_x0018_＀＀_x0018_＀＀_x0008_＀＀_x0001_＀＀_x0001_＀＀譄ꧻ㿥噡偊(塂幓䍉䕟呓䵉呁⡅偅ⱓ䕍乁䄬乎㈬㄰ⰴㄴ㔱⤹_x0018_＀＀_x0018_＀＀_x0008_＀＀_x0001_＀＀_x0001_＀＀긕ᑺ㿮噢偊)剔䭍䥞彃卅䥔䅍䕔䔨卐䴬䅅ⱎ乁ⱎ〲㈱㐬ㄱ㤵착_x0018_＀＀_x0018_＀＀_x0008_＀＀_x0001_＀＀_x0001_＀＀ㄦ갈㿼噟偊_x0019_䙁偞䵟呋噟䱁㐨ㄱ㤵Ⱜ唬䑓착_x0018_＀＀_x0018_＀＀_x0008_＀＀_x0001_＀＀_x0001_＀＀빷᪟ᶯ䂐嘊偉_x0013_䡃䍆偞偟䥒䕃㐨㤰㤰착_x0018_＀＀_x0018_＀＀_x0008_＀＀_x0001_＀＀_x0001_＀＀롒蔞凫䀵嘉偉_x0012_呓幉彐剐䍉⡅ㄴ㔱⤸_x0018_＀＀_x0018_＀＀_x0008_＀＀_x0001_＀＀_x0001_＀＀䞮竡긔䀺嘊偉)十䍂䥞彃卅䥔䅍䕔䔨卐䴬䅅ⱎ乁ⱎ〲㌱㐬ㄱ㠵착_x0018_＀＀_x0018_＀＀_x0008_＀＀_x0001_＀＀_x0001_＀＀⬂ᚇ컙㿯噠偊_x0012_䅗幌彐剐䍉⡅ㄴ㔱⤹_x0018_＀＀_x0018_＀＀_x0008_＀＀_x0001_＀＀_x0001_＀＀轜尨䀣嘉偉_x001A_奃幎彐䭍彔䅖⡌ㄴ㔱ⰸⰬ单⥄_x0018_＀＀_x0018_＀＀_x0008_＀＀_x0001_＀＀_x0001_＀＀틲才ᨐ䂦嘋偉)䙆䍂䥞彃卅䥔䅍䕔䔨卐䴬䅅ⱎ乁ⱎ〲㐱㐬ㄱ㠵착_x0018_＀＀_x0018_＀＀_x0008_＀＀_x0001_＀＀_x0001_＀＀㌳㌳㌳㿵噟偊_x0013_䉕䥓偞偟䥒䕃㐨ㄱ㤵착_x0018_＀＀_x0018_＀＀_x0008_＀＀_x0001_＀＀_x0001_＀＀䞮竡긔䀸噝偊_x0013_䉈乁偞偟䥒䕃㐨ㄱ㤵착_x0018_＀＀_x0018_＀＀_x0008_＀＀_x0001_＀＀_x0001_＀＀쳍쳌쳌䀚䃤偉_x0013_䅐坃偞偟䥒䕃㐨㜰㌹착_x0018_＀＀_x0018_＀＀_x0008_＀＀_x0001_＀＀_x0001_＀＀竡긔䀯嘊偉)䉍䥆䥞彃卅䥔䅍䕔䔨卐䴬䅅ⱎ乁ⱎ〲㈱㐬ㄱ㠵착_x0018_＀＀_x0018_＀＀_x0008_＀＀_x0001_＀＀_x0001_＀＀ⴎ鶲꟯㿸嘋偉(䙏幇䍉䕟呓䵉呁⡅偅ⱓ䕍乁䄬乎㈬㄰ⰲㄴ㔱⤸_x0018_＀＀_x0018_＀＀_x0008_＀＀_x0001_＀＀_x0001_＀＀竡긔㿪䃤偉_x0013_䉎䉔偞偟䥒䕃㐨㜰㌹착_x0018_＀＀_x0018_＀＀_x0008_＀＀_x0001_＀＀_x0001_＀＀轜尨䀳嘊偉_x001A_䅗幌彐䭍彔䅖⡌ㄴ㔱ⰸⰬ单⥄_x0018_＀＀_x0018_＀＀_x0008_＀＀_x0001_＀＀_x0001_＀＀钰补쏣䂈嘉偉_x001B_䅃奔偞䵟呋噟䱁㐨ㄱ㠵Ⱜ唬䑓착_x0018_＀＀_x0018_＀＀_x0008_＀＀_x0001_＀＀_x0001_＀＀_xD917_ᵓ䂕噡偊_x0013_䍓呂偞偟䥒䕃㐨㤰㤰착_x0018_＀＀_x0018_＀＀_x0008_＀＀_x0001_＀＀_x0001_＀＀尨ʏ䀽嘉偉(乓幖䍉䕟呓䵉呁⡅偅ⱓ䕍乁䄬乎㈬㄰ⰳㄴ㔱⤸_x0018_＀＀_x0018_＀＀_x0008_＀＀_x0001_＀＀_x0001_＀＀率橾璼㿃噡偊_x0013_䉐呃偞偟䥒䕃㐨㤰㤰착_x0018_＀＀_x0018_＀＀_x0008_＀＀_x0001_＀＀_x0001_＀＀㌳㌳댳䀩嘋偉(䍆幆䍉䕟呓䵉呁⡅偅ⱓ䕍乁䄬乎㈬㄰ⰲㄴ㔱⤸_x0018_＀＀_x0018_＀＀_x0008_＀＀_x0001_＀＀_x0001_＀＀ꇋ뙅ﷳ㿜噢偊)乆䝆䥞彃卅䥔䅍䕔䔨卐䴬䅅ⱎ乁ⱎ〲㐱㐬ㄱ㤵착_x0018_＀＀_x0018_＀＀_x0008_＀＀_x0001_＀＀_x0001_＀＀_xDD2F_ؤ閁㿫噠偊_x0013_䉇䥃偞偟䥒䕃㐨ㄱ㤵착_x0018_＀＀_x0018_＀＀_x0008_＀＀_x0001_＀＀_x0001_＀＀蔟凫麸䀯噞偊(呓幉䍉䕟呓䵉呁⡅偅ⱓ䕍乁䄬乎㈬㄰ⰲㄴ㔱⤹_x0018_＀＀_x0018_＀＀_x0008_＀＀_x0001_＀＀_x0001_＀＀䎖沋ﯧ㿿噜偊_x0013_䉉䍋偞偟䥒䕃㐨㤰㤰착_x0018_＀＀_x0018_＀＀_x0008_＀＀_x0001_＀＀_x0001_＀＀晧晦Ꙧ䁈噠偊_x0012_剐幋彐剐䍉⡅〴〹⤹_x0018_＀＀_x0018_＀＀_x0008_＀＀_x0001_＀＀_x0001_＀＀炤਽䏗䁐嘉偉(剆幃䍉䕟呓䵉呁⡅偅ⱓ䕍乁䄬乎㈬㄰ⰴㄴ㔱⤸_x0018_＀＀_x0018_＀＀_x0008_＀＀_x0001_＀＀_x0001_＀＀빷᪟_xDD2F_䀅嘊偉_x001B_呓䅂偞䵟呋噟䱁㐨ㄱ㠵Ⱜ唬䑓착_x0018_＀＀_x0018_＀＀_x0008_＀＀_x0001_＀＀_x0001_＀＀읺㨩_xD992_䁿嘊偉'䙁䥞彃卅䥔䅍䕔䔨卐䴬䅅ⱎ乁ⱎ〲㐱㐬ㄱ㠵착_x0018_＀＀_x0018_＀＀_x0008_＀＀_x0001_＀＀_x0001_＀＀譄ꧻ㿩嘊偉(塂幓䍉䕟呓䵉呁⡅偅ⱓ䕍乁䄬乎㈬㄰ⰲㄴ㔱⤸_x0018_＀＀_x0018_＀＀_x0008_＀＀_x0001_＀＀_x0001_＀＀䖢퓽㿬嘋偉)偂䡆䥞彃卅䥔䅍䕔䔨卐䴬䅅ⱎ乁ⱎ〲㐱㐬ㄱ㠵착_x0018_＀＀_x0018_＀＀_x0008_＀＀_x0001_＀＀_x0001_＀＀⼛ⓝ脆㿩噢偊)䉕䥓䥞彃卅䥔䅍䕔䔨卐䴬䅅ⱎ乁ⱎ〲㈱㐬ㄱ㤵착_x0018_＀＀_x0018_＀＀_x0008_＀＀_x0001_＀＀_x0001_＀＀롑蔞㿻嘉偉_x0012_佂幈彐剐䍉⡅ㄴ㔱⤸_x0018_＀＀_x0018_＀＀_x0008_＀＀_x0001_＀＀_x0001_＀＀긕푺䁇噢偊)䉐呃䥞彃卅䥔䅍䕔䔨卐䴬䅅ⱎ乁ⱎ〲㌱㐬ㄱ㤵착_x0018_＀＀_x0018_＀＀_x0008_＀＀_x0001_＀＀_x0001_＀＀됺盈龾㿪噢偊)䍔䥂䥞彃卅䥔䅍䕔䔨卐䴬䅅ⱎ乁ⱎ〲㈱㐬ㄱ㤵착_x0018_＀＀_x0018_＀＀_x0008_＀＀_x0001_＀＀_x0001_＀＀쫁䖡䀇嘉偉_x0012_䉗幓彐剐䍉⡅ㄴ㔱⤸_x0018_＀＀_x0018_＀＀_x0008_＀＀_x0001_＀＀_x0001_＀＀슏⣵轜䀶噞偊(呍幂䍉䕟呓䵉呁⡅偅ⱓ䕍乁䄬乎㈬㄰ⰴㄴ㔱⤹_x0018_＀＀_x0018_＀＀_x0008_＀＀_x0001_＀＀_x0001_＀＀컙号䀠嘉偉_x0013_剃䍂偞偟䥒䕃㐨ㄱ㠵착_x0018_＀＀_x0018_＀＀_x0008_＀＀_x0001_＀＀_x0001_＀＀㌳㌳猳䀴嘋偉)䉇䥃䥞彃卅䥔䅍䕔䔨卐䴬䅅ⱎ乁ⱎ〲㌱㐬ㄱ㠵착_x0018_＀＀_x0018_＀＀_x0008_＀＀_x0001_＀＀_x0001_＀＀＀＀＀＀＀＀㿲噛偊_x001A_䱖幙彐䭍彔䅖⡌ㄴ㔱ⰹⰬ单⥄_x0018_＀＀_x0018_＀＀_x0008_＀＀_x0001_＀＀_x0001_＀＀鮥迄䂟嘋偉)䉎䉔䥞彃卅䥔䅍䕔䔨卐䴬䅅ⱎ乁ⱎ〲㈱㐬ㄱ㠵착_x0018_＀＀_x0018_＀＀_x0008_＀＀_x0001_＀＀_x0001_＀＀컙号ꗣ㿹噡偊)䥓䉖䥞彃卅䥔䅍䕔䔨卐䴬䅅ⱎ乁ⱎ〲㐱㐬ㄱ㤵착_x0018_＀＀_x0018_＀＀_x0008_＀＀_x0001_＀＀_x0001_＀＀갈娜㭤䀐噟偊_x0013_䥓䉖偞偟䥒䕃㐨ㄱ㤵착_x0018_＀＀_x0018_＀＀_x0008_＀＀_x0001_＀＀_x0001_＀＀ꏗ㵰眊䁎噡偊(䱖幙䍉䕟呓䵉呁⡅偅ⱓ䕍乁䄬乎㈬㄰ⰴㄴ㔱⤹_x0018_＀＀_x0018_＀＀_x0008_＀＀_x0001_＀＀_x0001_＀＀Й๖눭㿥嘉偉(䉂幔䍉䕟呓䵉呁⡅偅ⱓ䕍乁䄬乎㈬㄰ⰴㄴ㔱⤸_x0018_＀＀_x0018_＀＀_x0008_＀＀_x0001_＀＀_x0001_＀＀쫁䖡䀊嘊偉_x0013_南䍂偞偟䥒䕃㐨ㄱ㠵착_x0018_＀＀_x0018_＀＀_x0008_＀＀_x0001_＀＀_x0001_＀＀롒蔞퇫䀴嘉偉_x001C_䍆䍎幁彐䭍彔䅖⡌ㄴ㔱ⰸⰬ单⥄_x0018_＀＀_x0018_＀＀_x0008_＀＀_x0001_＀＀_x0001_＀＀帵䦺薌䂖䃤偉_x0011_䉐偞偟䥒䕃㐨㜰㌹착_x0018_＀＀_x0018_＀＀_x0008_＀＀_x0001_＀＀_x0001_＀＀㵱휊傣䁂噢偊)呓䅂䥞彃卅䥔䅍䕔䔨卐䴬䅅ⱎ乁ⱎ〲㈱㐬ㄱ㤵착_x0018_＀＀_x0018_＀＀_x0008_＀＀_x0001_＀＀_x0001_＀＀휊炣਽㿳噡偊)䉈䍈䥞彃卅䥔䅍䕔䔨卐䴬䅅ⱎ乁ⱎ〲㐱㐬ㄱ㤵착_x0018_＀＀_x0018_＀＀_x0008_＀＀_x0001_＀＀_x0001_＀＀Წ摚_xDF3B_䀅嘋偉)䙃乆䥞彃卅䥔䅍䕔䔨卐䴬䅅ⱎ乁ⱎ〲㈱㐬ㄱ㠵착_x0018_＀＀_x0018_＀＀_x0008_＀＀_x0001_＀＀_x0001_＀＀茓쫀䖡㿞嘊偉'䉐䥞彃卅䥔䅍䕔䔨卐䴬䅅ⱎ乁ⱎ〲㈱㐬ㄱ㠵착_x0018_＀＀_x0018_＀＀_x0008_＀＀_x0001_＀＀_x0001_＀＀ᚇ컙号䀉噟偊_x0012_䍔幂彐剐䍉⡅ㄴ㔱⤹_x0018_＀＀_x0018_＀＀_x0008_＀＀_x0001_＀＀_x0001_＀＀ꏗ㵰휊䀦嘊偉_x001A_剐幋彐䭍彔䅖⡌ㄴ㔱ⰸⰬ单⥄_x0018_＀＀_x0018_＀＀_x0008_＀＀_x0001_＀＀_x0001_＀＀뙆ﷳퟔ䂐嘉偉_x0013_䉉䍏偞偟䥒䕃㐨ㄱ㠵착_x0018_＀＀_x0018_＀＀_x0008_＀＀_x0001_＀＀_x0001_＀＀롑䔞䀳噡偊)坅䍂䥞彃卅䥔䅍䕔䔨卐䴬䅅ⱎ乁ⱎ〲㌱㐬ㄱ㤵착_x0018_＀＀_x0018_＀＀_x0008_＀＀_x0001_＀＀_x0001_＀＀휊炣਽㿿䃤偉_x0012_䉆幐彐剐䍉⡅〴㤷⤳_x0018_＀＀_x0018_＀＀_x0008_＀＀_x0001_＀＀_x0001_＀＀尨슏䀉嘊偉(䉆幃䍉䕟呓䵉呁⡅偅ⱓ䕍乁䄬乎㈬㄰ⰴㄴ㔱⤸_x0018_＀＀_x0018_＀＀_x0008_＀＀_x0001_＀＀_x0001_＀＀豀碵꼝쐕噞偊'䙒䥞彃卅䥔䅍䕔䔨卐䴬䅅ⱎ乁ⱎ〲㈱㐬ㄱ㤵착_x0018_＀＀_x0018_＀＀_x0008_＀＀_x0001_＀＀_x0001_＀＀沋ﯧ㿦嘉偉_x0013_䥚乏偞偟䥒䕃㐨ㄱ㠵착_x0018_＀＀_x0018_＀＀_x0008_＀＀_x0001_＀＀_x0001_＀＀ᑻ䞮뫡䀳噝偊_x0012_乓幖彐剐䍉⡅〴〹⤹_x0018_＀＀_x0018_＀＀_x0008_＀＀_x0001_＀＀_x0001_＀＀슏⣵轜㿶䃡偉_x0012_䉐䙞彇剐䍉⡅〴〹⤹_x0018_＀＀_x0018_＀＀_x0008_＀＀_x0001_＀＀_x0001_＀＀쳍쳌Ⳍ䁄嘊偉_x0012_䙐幓彐剐䍉⡅〴〹⤹_x0018_＀＀_x0018_＀＀_x0008_＀＀_x0001_＀＀_x0001_＀＀ᑺ잮䀪嘊偉)䥓䉖䥞彃卅䥔䅍䕔䔨卐䴬䅅ⱎ乁ⱎ〲㈱㐬ㄱ㠵착_x0018_＀＀_x0018_＀＀_x0008_＀＀_x0001_＀＀_x0001_＀＀糮㔿멞䀌噝偊_x001B_䉈乁偞䵟呋噟䱁㐨ㄱ㤵Ⱜ唬䑓착_x0018_＀＀_x0018_＀＀_x0008_＀＀_x0001_＀＀_x0001_＀＀ﷴ磔睉䂶噡偊)十䍂䥞彃卅䥔䅍䕔䔨卐䴬䅅ⱎ乁ⱎ〲㌱㐬ㄱ㤵착_x0018_＀＀_x0018_＀＀_x0008_＀＀_x0001_＀＀_x0001_＀＀눭욧㿯噞偊_x0012_呓幉彐剐䍉⡅ㄴ㔱⤹_x0018_＀＀_x0018_＀＀_x0008_＀＀_x0001_＀＀_x0001_＀＀＀＀＀＀耀䀻噢偊)䙆䍂䥞彃卅䥔䅍䕔䔨卐䴬䅅ⱎ乁ⱎ〲㐱㐬ㄱ㤵착_x0018_＀＀_x0018_＀＀_x0008_＀＀_x0001_＀＀_x0001_＀＀㌳㌳㌳㿵嘋偉)䅐坃䥞彃卅䥔䅍䕔䔨卐䴬䅅ⱎ乁ⱎ〲㌱㐬ㄱ㠵착_x0018_＀＀_x0018_＀＀_x0008_＀＀_x0001_＀＀_x0001_＀＀䷒ၢ㿾噢偊)䉍䥆䥞彃卅䥔䅍䕔䔨卐䴬䅅ⱎ乁ⱎ〲㈱㐬ㄱ㤵착_x0018_＀＀_x0018_＀＀_x0008_＀＀_x0001_＀＀_x0001_＀＀ⴎ鶲꟯㿸嘊偉)䉉䍏䥞彃卅䥔䅍䕔䔨卐䴬䅅ⱎ乁ⱎ〲㐱㐬ㄱ㠵착_x0018_＀＀_x0018_＀＀_x0008_＀＀_x0001_＀＀_x0001_＀＀ᑻ䞮竡㿸嘋偉)偎䍂䥞彃卅䥔䅍䕔䔨卐䴬䅅ⱎ乁ⱎ〲㌱㐬ㄱ㠵착_x0018_＀＀_x0018_＀＀_x0008_＀＀_x0001_＀＀_x0001_＀＀뙆ﷳ磔㿥䃤偉_x0013_䅗䑆偞偟䥒䕃㐨㜰㌹착_x0018_＀＀_x0018_＀＀_x0008_＀＀_x0001_＀＀_x0001_＀＀Ẹ롑䀭嘊偉(奃幎䍉䕟呓䵉呁⡅偅ⱓ䕍乁䄬乎㈬㄰ⰴㄴ㔱⤸_x0018_＀＀_x0018_＀＀_x0008_＀＀_x0001_＀＀_x0001_＀＀㵱휊炣䀐䃢偉_x0013_奎幂䝆偟䥒䕃㐨ㄱ㠵착_x0018_＀＀_x0018_＀＀_x0008_＀＀_x0001_＀＀_x0001_＀＀炤਽⏗䀫噛偊_x001B_䉃䡓偞䵟呋噟䱁㐨ㄱ㤵Ⱜ唬䑓착_x0018_＀＀_x0018_＀＀_x0008_＀＀_x0001_＀＀_x0001_＀＀롒蔞᢫䂬嘊偉_x001A_䙏幇彐䭍彔䅖⡌ㄴ㔱ⰸⰬ单⥄_x0018_＀＀_x0018_＀＀_x0008_＀＀_x0001_＀＀_x0001_＀＀浝ﻅ羲䁻嘊偉)䅃奔䥞彃卅䥔䅍䕔䔨卐䴬䅅ⱎ乁ⱎ〲㌱㐬ㄱ㠵착_x0018_＀＀_x0018_＀＀_x0008_＀＀_x0001_＀＀_x0001_＀＀䯇褷恁㿷噞偊(乓幖䍉䕟呓䵉呁⡅偅ⱓ䕍乁䄬乎㈬㄰ⰳㄴ㔱⤹_x0018_＀＀_x0018_＀＀_x0008_＀＀_x0001_＀＀_x0001_＀＀率橾璼㿃嘋偉)南䍂䥞彃卅䥔䅍䕔䔨卐䴬䅅ⱎ乁ⱎ〲㌱㐬ㄱ㠵착_x0018_＀＀_x0018_＀＀_x0008_＀＀_x0001_＀＀_x0001_＀＀糮㔿멞㿽嘊偉_x0012_奎幂彐剐䍉⡅ㄴ㔱⤸_x0018_＀＀_x0018_＀＀_x0008_＀＀_x0001_＀＀_x0001_＀＀炤਽⏗䀫䃤偉_x0013_䭂幕䝆偟䥒䕃㐨㤰㤰착_x0018_＀＀_x0018_＀＀_x0008_＀＀_x0001_＀＀_x0001_＀＀਽ꏗﵰ䀵嘋偉)䍆乂䥞彃卅䥔䅍䕔䔨卐䴬䅅ⱎ乁ⱎ〲㈱㐬ㄱ㠵착_x0014_＀＀_x0018_＀＀_x0004_＀＀_x0001_＀＀_x0003_＀＀＀＀耀䃣偉_x0016_奎幂䍉䵟䅅彎偅当呌⡇⤰_x0018_＀＀_x0018_＀＀_x0008_＀＀_x0001_＀＀_x0001_＀＀㌴㌳㌳䀋噡偊(塂幓䍉䕟呓䵉呁⡅偅ⱓ䕍乁䄬乎㈬㄰ⰲㄴ㔱⤹_x0018_＀＀_x0018_＀＀_x0008_＀＀_x0001_＀＀_x0001_＀＀䖢퓽㿬噡偊'䙁䥞彃卅䥔䅍䕔䔨卐䴬䅅ⱎ乁ⱎ〲㐱㐬ㄱ㤵착_x0018_＀＀_x0018_＀＀_x0008_＀＀_x0001_＀＀_x0001_＀＀譄ꧻ㿩噝偊(剆幃䍉䕟呓䵉呁⡅偅ⱓ䕍乁䄬乎㈬㄰ⰴㄴ㔱⤹_x0018_＀＀_x0018_＀＀_x0008_＀＀_x0001_＀＀_x0001_＀＀빷᪟_xDD2F_䀅䃤偉_x0013_呓䅓偞偟䥒䕃㐨㜰㌹착_x0018_＀＀_x0018_＀＀_x0008_＀＀_x0001_＀＀_x0001_＀＀尨䊏䀬嘉偉_x0013_啓兓偞偟䥒䕃㐨ㄱ㠵착_x0018_＀＀_x0018_＀＀_x0008_＀＀_x0001_＀＀_x0001_＀＀ꏗ㵰霊䀥噟偊_x001B_噐䉔偞䵟呋噟䱁㐨ㄱ㤵Ⱜ唬䑓착_x0018_＀＀_x0018_＀＀_x0008_＀＀_x0001_＀＀_x0001_＀＀盉龾䌚䂓嘉偉_x001B_坅䍂偞䵟呋噟䱁㐨ㄱ㠵Ⱜ唬䑓착_x0018_＀＀_x0018_＀＀_x0008_＀＀_x0001_＀＀_x0001_＀＀迥䂨噟偊_x0012_佂幈彐剐䍉⡅ㄴ㔱⤹_x0018_＀＀_x0018_＀＀_x0008_＀＀_x0001_＀＀_x0001_＀＀롑씞䁇䃤偉_x0013_噃䙂偞偟䥒䕃㐨㜰㌹착_x0018_＀＀_x0018_＀＀_x0008_＀＀_x0001_＀＀_x0001_＀＀凬Ẹ䀠䃤偉_x0013_商呌偞偟䥒䕃㐨㜰㌹착_x0018_＀＀_x0018_＀＀_x0008_＀＀_x0001_＀＀_x0001_＀＀긕鑺䀡嘉偉_x001A_䍔幂彐䭍彔䅖⡌ㄴ㔱ⰸⰬ单⥄_x0018_＀＀_x0018_＀＀_x0008_＀＀_x0001_＀＀_x0001_＀＀ⓝ脆䂕䂝噟偊_x0012_䉗幓彐剐䍉⡅ㄴ㔱⤹_x0018_＀＀_x0018_＀＀_x0008_＀＀_x0001_＀＀_x0001_＀＀긕鑺䀶噢偊)䉇䥃䥞彃卅䥔䅍䕔䔨卐䴬䅅ⱎ乁ⱎ〲㌱㐬ㄱ㤵착_x0018_＀＀_x0018_＀＀_x0008_＀＀_x0001_＀＀_x0001_＀＀＀＀＀＀＀＀㿲噟偊_x0013_剃䍂偞偟䥒䕃㐨ㄱ㤵착_x0018_＀＀_x0018_＀＀_x0008_＀＀_x0001_＀＀_x0001_＀＀쳍쳌䳌䀴噝偊_x001B_䥆䉔偞䵟呋噟䱁㐨ㄱ㤵Ⱜ唬䑓착_x0018_＀＀_x0018_＀＀_x0008_＀＀_x0001_＀＀_x0001_＀＀_xDF3C_赏穇䃋䃤偉_x0012_䕋幙彐剐䍉⡅〴㤷⤳_x0018_＀＀_x0018_＀＀_x0008_＀＀_x0001_＀＀_x0001_＀＀슐⣵轜䀚嘊偉_x001B_䉇䥃偞䵟呋噟䱁㐨ㄱ㠵Ⱜ唬䑓착_x0018_＀＀_x0018_＀＀_x0008_＀＀_x0001_＀＀_x0001_＀＀龿⼚퍝䂑䃤偉_x0013_乓幖䝆偟䥒䕃㐨㤰㤰착_x0018_＀＀_x0018_＀＀_x0008_＀＀_x0001_＀＀_x0001_＀＀슏⣵轜㿶嘋偉(䉃幕䍉䕟呓䵉呁⡅偅ⱓ䕍乁䄬乎㈬㄰ⰴㄴ㔱⤸_x0018_＀＀_x0018_＀＀_x0008_＀＀_x0001_＀＀_x0001_＀＀㌳㌳㌳䀁嘋偉(奎幂䍉䕟呓䵉呁⡅偅ⱓ䕍乁䄬乎㈬㄰ⰴㄴ㔱⤸_x0018_＀＀_x0018_＀＀_x0008_＀＀_x0001_＀＀_x0001_＀＀茓쫀䖡㿰噞偊(䉂幔䍉䕟呓䵉呁⡅偅ⱓ䕍乁䄬乎㈬㄰ⰴㄴ㔱⤹_x0018_＀＀_x0018_＀＀_x0008_＀＀_x0001_＀＀_x0001_＀＀쫁䖡䀊䃤偉_x0012_䙒䙞彇剐䍉⡅〴〹⤹_x0018_＀＀_x0018_＀＀_x0008_＀＀_x0001_＀＀_x0001_＀＀㌳㌳㌳䀑嘋偉)乆䝆䥞彃卅䥔䅍䕔䔨卐䴬䅅ⱎ乁ⱎ〲㈱㐬ㄱ㠵착_x0018_＀＀_x0018_＀＀_x0008_＀＀_x0001_＀＀_x0001_＀＀䆉⋐㿧嘉偉_x0012_乆幂彐剐䍉⡅ㄴ㔱⤸_x0018_＀＀_x0018_＀＀_x0008_＀＀_x0001_＀＀_x0001_＀＀尩슏ꣵ䀦嘊偉(䉆幐䍉䕟呓䵉呁⡅偅ⱓ䕍乁䄬乎㈬㄰ⰲㄴ㔱⤸_x0018_＀＀_x0018_＀＀_x0008_＀＀_x0001_＀＀_x0001_＀＀ᑻ䞮竡㾴噡偊_x001B_乐偆偞䵟呋噟䱁㐨ㄱ㤵Ⱜ唬䑓착_x0018_＀＀_x0018_＀＀_x0008_＀＀_x0001_＀＀_x0001_＀＀꾷쪃䂅䃤偉_x0013_呗䍆偞偟䥒䕃㐨㜰㌹착_x0018_＀＀_x0018_＀＀_x0008_＀＀_x0001_＀＀_x0001_＀＀휊炣訽䀾嘊偉)䅗䑆䥞彃卅䥔䅍䕔䔨卐䴬䅅ⱎ乁ⱎ〲㐱㐬ㄱ㠵착_x0018_＀＀_x0018_＀＀_x0008_＀＀_x0001_＀＀_x0001_＀＀됹盈龾㿶嘉偉_x001B_䵕䙂偞䵟呋噟䱁㐨ㄱ㠵Ⱜ唬䑓착_x0018_＀＀_x0018_＀＀_x0008_＀＀_x0001_＀＀_x0001_＀＀갈娜迤䂟䃡偉_x0013_奃幎䝆偟䥒䕃㐨㤰㤰착_x0018_＀＀_x0018_＀＀_x0008_＀＀_x0001_＀＀_x0001_＀＀ꏗ㵰ᜊ䁆嘉偉_x001B_呗䍆偞䵟呋噟䱁㐨ㄱ㠵Ⱜ唬䑓착_x0018_＀＀_x0018_＀＀_x0008_＀＀_x0001_＀＀_x0001_＀＀磕⛩宱䂕噢偊'䉐䥞彃卅䥔䅍䕔䔨卐䴬䅅ⱎ乁ⱎ〲㈱㐬ㄱ㤵착_x0018_＀＀_x0018_＀＀_x0008_＀＀_x0001_＀＀_x0001_＀＀ᚇ컙号䀉嘉偉_x001B_䥆乎偞䵟呋噟䱁㐨ㄱ㠵Ⱜ唬䑓착_x0018_＀＀_x0018_＀＀_x0008_＀＀_x0001_＀＀_x0001_＀＀뙆ﷳ䂔䃡偉_x0014_剔䭍䙞彇剐䍉⡅〴〹⤹_x0018_＀＀_x0018_＀＀_x0008_＀＀_x0001_＀＀_x0001_＀＀휊炣䨽䀸嘊偉)噐䉔䥞彃卅䥔䅍䕔䔨卐䴬䅅ⱎ乁ⱎ〲㌱㐬ㄱ㠵착_x0018_＀＀_x0018_＀＀_x0008_＀＀_x0001_＀＀_x0001_＀＀ꏗ㵰휊㿱嘉偉(呍幂䍉䕟呓䵉呁⡅偅ⱓ䕍乁䄬乎㈬㄰ⰲㄴ㔱⤸_x0018_＀＀_x0018_＀＀_x0008_＀＀_x0001_＀＀_x0001_＀＀俟鞍鉮䀛噟偊_x0013_䉉䍏偞偟䥒䕃㐨ㄱ㤵착_x0018_＀＀_x0018_＀＀_x0008_＀＀_x0001_＀＀_x0001_＀＀凬Ẹ殅䀳䃤偉_x0012_塂幓彐剐䍉⡅〴㤷⤳_x0018_＀＀_x0018_＀＀_x0008_＀＀_x0001_＀＀_x0001_＀＀䞮竡⸔䀥嘋偉)䙂䙃䥞彃卅䥔䅍䕔䔨卐䴬䅅ⱎ乁ⱎ〲㈱㐬ㄱ㠵착_x0018_＀＀_x0018_＀＀_x0008_＀＀_x0001_＀＀_x0001_＀＀豀碵꼝쐕噞偊_x0013_䥚乏偞偟䥒䕃㐨ㄱ㤵착_x0018_＀＀_x0018_＀＀_x0008_＀＀_x0001_＀＀_x0001_＀＀쳍쳌䳌䀴嘊偉_x001A_剄幌彐䭍彔䅖⡌ㄴ㔱ⰸⰬ单⥄_x0018_＀＀_x0018_＀＀_x0008_＀＀_x0001_＀＀_x0001_＀＀_xDAB9_즊䁢嘊偉)䥆乎䥞彃卅䥔䅍䕔䔨卐䴬䅅ⱎ乁ⱎ〲㐱㐬ㄱ㠵착_x0014_＀＀_x0018_＀＀_x0004_＀＀_x0001_＀＀_x0003_＀＀＀＀耀噡偊)䥓䉖䥞彃卅䥔䅍䕔䔨卐䴬䅅ⱎ乁ⱎ〲㈱㐬ㄱ㤵착_x0018_＀＀_x0018_＀＀_x0008_＀＀_x0001_＀＀_x0001_＀＀糮㔿멞䀌嘉偉_x001A_䵃幁彐䭍彔䅖⡌ㄴ㔱ⰸⰬ单⥄_x0018_＀＀_x0018_＀＀_x0008_＀＀_x0001_＀＀_x0001_＀＀ၢ㥘䂷嘊偉(䱖幙䍉䕟呓䵉呁⡅偅ⱓ䕍乁䄬乎㈬㄰ⰲㄴ㔱⤸_x0018_＀＀_x0018_＀＀_x0008_＀＀_x0001_＀＀_x0001_＀＀ᢔ嘄ⴎ㿦嘉偉(䉂幔䍉䕟呓䵉呁⡅偅ⱓ䕍乁䄬乎㈬㄰ⰲㄴ㔱⤸_x0018_＀＀_x0018_＀＀_x0008_＀＀_x0001_＀＀_x0001_＀＀俟鞍ቮ䀆嘉偉_x0014_䉃奃幂彐剐䍉⡅〴〹⤹_x0018_＀＀_x0018_＀＀_x0008_＀＀_x0001_＀＀_x0001_＀＀＀＀＀＀ 䁴嘊偉_x001B_䵆䥂偞䵟呋噟䱁㐨ㄱ㠵Ⱜ唬䑓착_x0018_＀＀_x0018_＀＀_x0008_＀＀_x0001_＀＀_x0001_＀＀鳡ꔑ岽䂌嘋偉(千幅䍉䕟呓䵉呁⡅偅ⱓ䕍乁䄬乎㈬㄰ⰴㄴ㔱⤸_x0018_＀＀_x0018_＀＀_x0008_＀＀_x0001_＀＀_x0001_＀＀轜尨㿧噢偊)偎䍂䥞彃卅䥔䅍䕔䔨卐䴬䅅ⱎ乁ⱎ〲㌱㐬ㄱ㤵착_x0018_＀＀_x0018_＀＀_x0008_＀＀_x0001_＀＀_x0001_＀＀뙆ﷳ磔㿥噢偊)䉉䍏䥞彃卅䥔䅍䕔䔨卐䴬䅅ⱎ乁ⱎ〲㐱㐬ㄱ㤵착_x0018_＀＀_x0018_＀＀_x0008_＀＀_x0001_＀＀_x0001_＀＀ᑻ䞮竡㿸䃤偉_x0013_十䍂偞偟䥒䕃㐨㜰㌹착_x0018_＀＀_x0018_＀＀_x0008_＀＀_x0001_＀＀_x0001_＀＀긕鑺䀥嘉偉_x0012_剆幃彐剐䍉⡅ㄴ㔱⤸_x0018_＀＀_x0018_＀＀_x0008_＀＀_x0001_＀＀_x0001_＀＀竡긔腇䁀嘉偉)䥚乏䥞彃卅䥔䅍䕔䔨卐䴬䅅ⱎ乁ⱎ〲㐱㐬ㄱ㠵착_x0018_＀＀_x0018_＀＀_x0008_＀＀_x0001_＀＀_x0001_＀＀鮥⃄䀀嘊偉)䉈䍈䥞彃卅䥔䅍䕔䔨卐䴬䅅ⱎ乁ⱎ〲㈱㐬ㄱ㠵착_x0018_＀＀_x0018_＀＀_x0008_＀＀_x0001_＀＀_x0001_＀＀竡긔䀁噝偊(奃幎䍉䕟呓䵉呁⡅偅ⱓ䕍乁䄬乎㈬㄰ⰴㄴ㔱⤹_x0018_＀＀_x0018_＀＀_x0008_＀＀_x0001_＀＀_x0001_＀＀㵱휊炣䀐嘉偉_x001A_塂幓彐䭍彔䅖⡌ㄴ㔱ⰸⰬ单⥄_x0018_＀＀_x0018_＀＀_x0008_＀＀_x0001_＀＀_x0001_＀＀뱫鍴肘䂖嘉偉_x0013_䉓奎偞偟䥒䕃㐨ㄱ㠵착_x0018_＀＀_x0018_＀＀_x0008_＀＀_x0001_＀＀_x0001_＀＀ᑺ➮䁐嘋偉)剃䍂䥞彃卅䥔䅍䕔䔨卐䴬䅅ⱎ乁ⱎ〲㌱㐬ㄱ㠵착_x0018_＀＀_x0018_＀＀_x0008_＀＀_x0001_＀＀_x0001_＀＀茓쫀䖡㿴䃤偉_x0013_䡃䍆偞偟䥒䕃㐨㜰㌹착_x0018_＀＀_x0018_＀＀_x0008_＀＀_x0001_＀＀_x0001_＀＀슏⣵轜䀰嘋偉)䍓呂䥞彃卅䥔䅍䕔䔨卐䴬䅅ⱎ乁ⱎ〲㐱㐬ㄱ㠵착_x0018_＀＀_x0018_＀＀_x0008_＀＀_x0001_＀＀_x0001_＀＀晧晦晦䀌噢偊)䅃奔䥞彃卅䥔䅍䕔䔨卐䴬䅅ⱎ乁ⱎ〲㌱㐬ㄱ㤵착_x0018_＀＀_x0018_＀＀_x0008_＀＀_x0001_＀＀_x0001_＀＀䯇褷恁㿷嘊偉_x001B_䍐䍂偞䵟呋噟䱁㐨ㄱ㠵Ⱜ唬䑓착_x0018_＀＀_x0018_＀＀_x0008_＀＀_x0001_＀＀_x0001_＀＀눭꘧䂗嘊偉_x001B_坎䥂偞䵟呋噟䱁㐨ㄱ㠵Ⱜ唬䑓착_x0018_＀＀_x0018_＀＀_x0008_＀＀_x0001_＀＀_x0001_＀＀㽽帵䂒噡偊_x0012_奎幂彐剐䍉⡅ㄴ㔱⤹_x0018_＀＀_x0018_＀＀_x0008_＀＀_x0001_＀＀_x0001_＀＀ਾꏗ㵰䀫噝偊_x001A_䉂幔彐䭍彔䅖⡌ㄴ㔱ⰹⰬ单⥄_x0018_＀＀_x0018_＀＀_x0008_＀＀_x0001_＀＀_x0001_＀＀尩슏焕䃖噟偊_x0013_啓兓偞偟䥒䕃㐨ㄱ㤵착_x0018_＀＀_x0018_＀＀_x0008_＀＀_x0001_＀＀_x0001_＀＀⣶轜䀥噡偊_x001B_婏䭒偞䵟呋噟䱁㐨ㄱ㤵Ⱜ唬䑓착_x0018_＀＀_x0018_＀＀_x0008_＀＀_x0001_＀＀_x0001_＀＀ᚇ컙⻷䂒嘉偉_x0019_䙒偞䵟呋噟䱁㐨ㄱ㠵Ⱜ唬䑓착_x0018_＀＀_x0018_＀＀_x0008_＀＀_x0001_＀＀_x0001_＀＀䦺Ȍ䃃嘊偉_x0013_䍕䥂偞偟䥒䕃㐨ㄱ㠵착_x0018_＀＀_x0018_＀＀_x0008_＀＀_x0001_＀＀_x0001_＀＀긕ᑺ䀡嘊偉)䉉䍋䥞彃卅䥔䅍䕔䔨卐䴬䅅ⱎ乁ⱎ〲㌱㐬ㄱ㠵착_x0018_＀＀_x0018_＀＀_x0008_＀＀_x0001_＀＀_x0001_＀＀Й๖눭䀇嘊偉(䭂幕䍉䕟呓䵉呁⡅偅ⱓ䕍乁䄬乎㈬㄰ⰴㄴ㔱⤸_x0018_＀＀_x0018_＀＀_x0008_＀＀_x0001_＀＀_x0001_＀＀＀＀＀＀＀＀㿺嘋偉)䙆䍂䥞彃卅䥔䅍䕔䔨卐䴬䅅ⱎ乁ⱎ〲㈱㐬ㄱ㠵착_x0018_＀＀_x0018_＀＀_x0008_＀＀_x0001_＀＀_x0001_＀＀ၢ㥘좴㿲䃤偉_x0013_䉐呃偞偟䥒䕃㐨㜰㌹착_x0018_＀＀_x0018_＀＀_x0008_＀＀_x0001_＀＀_x0001_＀＀蔟凫麸䀧嘉偉_x0013_䉃䡓偞偟䥒䕃㐨ㄱ㠵착_x0018_＀＀_x0018_＀＀_x0008_＀＀_x0001_＀＀_x0001_＀＀晧晦晦䁄嘉偉_x001B_䥓䉖偞䵟呋噟䱁㐨ㄱ㠵Ⱜ唬䑓착_x0018_＀＀_x0018_＀＀_x0008_＀＀_x0001_＀＀_x0001_＀＀㕀멞ሉ䂥䃤偉_x0012_剐幋彐剐䍉⡅〴㤷⤳_x0018_＀＀_x0018_＀＀_x0008_＀＀_x0001_＀＀_x0001_＀＀Ẹ롑䁊䃤偉_x0013_䉉䍋偞偟䥒䕃㐨㜰㌹착_x0018_＀＀_x0018_＀＀_x0008_＀＀_x0001_＀＀_x0001_＀＀尩슏⣵䁇嘉偉_x0012_䉆幃彐剐䍉⡅〴〹⤹_x0018_＀＀_x0018_＀＀_x0008_＀＀_x0001_＀＀_x0001_＀＀尩슏⣵㿠噢偊(奎幂䍉䕟呓䵉呁⡅偅ⱓ䕍乁䄬乎㈬㄰ⰴㄴ㔱⤹_x0018_＀＀_x0018_＀＀_x0008_＀＀_x0001_＀＀_x0001_＀＀茓쫀䖡㿰噢偊(䉃幕䍉䕟呓䵉呁⡅偅ⱓ䕍乁䄬乎㈬㄰ⰴㄴ㔱⤹_x0018_＀＀_x0018_＀＀_x0008_＀＀_x0001_＀＀_x0001_＀＀㌳㌳㌳䀁嘋偉)䅂䙎䥞彃卅䥔䅍䕔䔨卐䴬䅅ⱎ乁ⱎ〲㌱㐬ㄱ㠵착_x0018_＀＀_x0018_＀＀_x0008_＀＀_x0001_＀＀_x0001_＀＀馚香香䀉噝偊_x0015_䵈呓偞偟䥒䕃㈨ㄯ⼰㈱착_x0018_＀＀_x0018_＀＀_x0008_＀＀_x0001_＀＀_x0001_＀＀＀＀＀＀＀＀䀸噢偊)乆䝆䥞彃卅䥔䅍䕔䔨卐䴬䅅ⱎ乁ⱎ〲㈱㐬ㄱ㤵착_x0018_＀＀_x0018_＀＀_x0008_＀＀_x0001_＀＀_x0001_＀＀䆉⋐㿧嘉偉_x0012_䡆幎彐剐䍉⡅ㄴ㔱⤸_x0018_＀＀_x0018_＀＀_x0008_＀＀_x0001_＀＀_x0001_＀＀炤਽ꏗ䀢嘉偉(剆幃䍉䕟呓䵉呁⡅偅ⱓ䕍乁䄬乎㈬㄰ⰲㄴ㔱⤸_x0018_＀＀_x0018_＀＀_x0008_＀＀_x0001_＀＀_x0001_＀＀⼛ⓝ脆䀅嘊偉'䙁䥞彃卅䥔䅍䕔䔨卐䴬䅅ⱎ乁ⱎ〲㈱㐬ㄱ㠵착_x0018_＀＀_x0018_＀＀_x0008_＀＀_x0001_＀＀_x0001_＀＀_xDB23_绹뱪㿠嘊偉)䵆剅䥞彃卅䥔䅍䕔䔨卐䴬䅅ⱎ乁ⱎ〲㌱㐬ㄱ㠵착_x0018_＀＀_x0018_＀＀_x0008_＀＀_x0001_＀＀_x0001_＀＀摚_xDF3B_赏㿵嘋偉)噃䙂䥞彃卅䥔䅍䕔䔨卐䴬䅅ⱎ乁ⱎ〲㌱㐬ㄱ㠵착_x0018_＀＀_x0018_＀＀_x0008_＀＀_x0001_＀＀_x0001_＀＀ᢔ嘄ⴎ㿮嘋偉)偂䡆䥞彃卅䥔䅍䕔䔨卐䴬䅅ⱎ乁ⱎ〲㈱㐬ㄱ㠵착_x0018_＀＀_x0018_＀＀_x0008_＀＀_x0001_＀＀_x0001_＀＀갈娜㭤㿣嘊偉_x001B_䍆乂偞䵟呋噟䱁㐨ㄱ㠵Ⱜ唬䑓착_x0018_＀＀_x0018_＀＀_x0008_＀＀_x0001_＀＀_x0001_＀＀凬Ẹ䮅䁻噠偊_x0012_䅗幌彐剐䍉⡅〴〹⤹_x0018_＀＀_x0018_＀＀_x0008_＀＀_x0001_＀＀_x0001_＀＀凬Ẹ䀘噢偊)噐䉔䥞彃卅䥔䅍䕔䔨卐䴬䅅ⱎ乁ⱎ〲㌱㐬ㄱ㤵착_x0018_＀＀_x0018_＀＀_x0008_＀＀_x0001_＀＀_x0001_＀＀ꏗ㵰휊㿱噝偊_x0013_䉈乁偞偟䥒䕃㐨㤰㤰착_x0018_＀＀_x0018_＀＀_x0008_＀＀_x0001_＀＀_x0001_＀＀⣶轜䀕噟偊_x0013_䉕䥓偞偟䥒䕃㐨㤰㤰착_x0018_＀＀_x0018_＀＀_x0008_＀＀_x0001_＀＀_x0001_＀＀롑䔞䀼噞偊(呍幂䍉䕟呓䵉呁⡅偅ⱓ䕍乁䄬乎㈬㄰ⰲㄴ㔱⤹_x0018_＀＀_x0018_＀＀_x0008_＀＀_x0001_＀＀_x0001_＀＀俟鞍鉮䀛嘋偉(剄幌䍉䕟呓䵉呁⡅偅ⱓ䕍乁䄬乎㈬㄰ⰴㄴ㔱⤸_x0018_＀＀_x0018_＀＀_x0008_＀＀_x0001_＀＀_x0001_＀＀豀碵꼝쐕噟偊_x001B_剃䍂偞䵟呋噟䱁㐨ㄱ㤵Ⱜ唬䑓착_x0018_＀＀_x0018_＀＀_x0008_＀＀_x0001_＀＀_x0001_＀＀硬ꕺ눬䂉嘊偉_x001B_䙆䍂偞䵟呋噟䱁㐨ㄱ㠵Ⱜ唬䑓착_x0018_＀＀_x0018_＀＀_x0008_＀＀_x0001_＀＀_x0001_＀＀稐ꬶ_xDC3E_䂎嘉偉_x0012_奃幎彐剐䍉⡅ㄴ㔱⤸_x0018_＀＀_x0018_＀＀_x0008_＀＀_x0001_＀＀_x0001_＀＀ᑺ枮䁊嘊偉(䡆幎䍉䕟呓䵉呁⡅偅ⱓ䕍乁䄬乎㈬㄰ⰳㄴ㔱⤸_x0018_＀＀_x0018_＀＀_x0008_＀＀_x0001_＀＀_x0001_＀＀휊炣਽㿫嘋偉)䡃䍆䥞彃卅䥔䅍䕔䔨卐䴬䅅ⱎ乁ⱎ〲㐱㐬ㄱ㠵착_x0018_＀＀_x0018_＀＀_x0008_＀＀_x0001_＀＀_x0001_＀＀豀碵꼝쐕噡偊(䱖幙䍉䕟呓䵉呁⡅偅ⱓ䕍乁䄬乎㈬㄰ⰲㄴ㔱⤹_x0018_＀＀_x0018_＀＀_x0008_＀＀_x0001_＀＀_x0001_＀＀ᢔ嘄ⴎ㿦嘋偉)䍐䍂䥞彃卅䥔䅍䕔䔨卐䴬䅅ⱎ乁ⱎ〲㐱㐬ㄱ㠵착_x0018_＀＀_x0018_＀＀_x0008_＀＀_x0001_＀＀_x0001_＀＀豀碵꼝쐕噞偊(䉂幔䍉䕟呓䵉呁⡅偅ⱓ䕍乁䄬乎㈬㄰ⰲㄴ㔱⤹_x0018_＀＀_x0018_＀＀_x0008_＀＀_x0001_＀＀_x0001_＀＀俟鞍ቮ䀆噠偊_x0013_䉇䥃偞偟䥒䕃㐨㤰㤰착_x0018_＀＀_x0018_＀＀_x0008_＀＀_x0001_＀＀_x0001_＀＀슐⣵ཛྷ䀨嘉偉(䕋幙䍉䕟呓䵉呁⡅偅ⱓ䕍乁䄬乎㈬㄰ⰴㄴ㔱⤸_x0018_＀＀_x0018_＀＀_x0008_＀＀_x0001_＀＀_x0001_＀＀脆䎕沋㿯嘋偉*䉃奃幂䍉䕟呓䵉呁⡅偅ⱓ䕍乁䄬乎㈬㄰ⰳㄴ㔱⤸_x0014_＀＀_x0018_＀＀_x0004_＀＀_x0001_＀＀_x0003_＀＀＀＀耀噢偊(千幅䍉䕟呓䵉呁⡅偅ⱓ䕍乁䄬乎㈬㄰ⰴㄴ㔱⤹_x0018_＀＀_x0018_＀＀_x0008_＀＀_x0001_＀＀_x0001_＀＀轜尨㿧嘉偉_x001B_偎䍂偞䵟呋噟䱁㐨ㄱ㠵Ⱜ唬䑓착_x0018_＀＀_x0018_＀＀_x0008_＀＀_x0001_＀＀_x0001_＀＀⬂ᚇ䂕䃤偉_x0012_乓幖彐剐䍉⡅〴㤷⤳_x0018_＀＀_x0018_＀＀_x0008_＀＀_x0001_＀＀_x0001_＀＀㌳㌳㌳㿷噡偊)䉈䍈䥞彃卅䥔䅍䕔䔨卐䴬䅅ⱎ乁ⱎ〲㈱㐬ㄱ㤵착_x0018_＀＀_x0018_＀＀_x0008_＀＀_x0001_＀＀_x0001_＀＀竡긔䀁噞偊)䥚乏䥞彃卅䥔䅍䕔䔨卐䴬䅅ⱎ乁ⱎ〲㐱㐬ㄱ㤵착_x0018_＀＀_x0018_＀＀_x0008_＀＀_x0001_＀＀_x0001_＀＀鮥⃄䀀噝偊_x0012_剆幃彐剐䍉⡅ㄴ㔱⤹_x0018_＀＀_x0018_＀＀_x0008_＀＀_x0001_＀＀_x0001_＀＀＀＀＀＀ꀀ䁀䃤偉_x0012_䙐幓彐剐䍉⡅〴㤷⤳_x0018_＀＀_x0018_＀＀_x0008_＀＀_x0001_＀＀_x0001_＀＀䞮竡⸔䀨噢偊)剃䍂䥞彃卅䥔䅍䕔䔨卐䴬䅅ⱎ乁ⱎ〲㌱㐬ㄱ㤵착_x0018_＀＀_x0018_＀＀_x0008_＀＀_x0001_＀＀_x0001_＀＀茓쫀䖡㿴噟偊_x0013_䉓奎偞偟䥒䕃㐨ㄱ㤵착_x0018_＀＀_x0018_＀＀_x0008_＀＀_x0001_＀＀_x0001_＀＀馚香妙䁐噢偊)䍓呂䥞彃卅䥔䅍䕔䔨卐䴬䅅ⱎ乁ⱎ〲㐱㐬ㄱ㤵착_x0018_＀＀_x0018_＀＀_x0008_＀＀_x0001_＀＀_x0001_＀＀晧晦晦䀌嘊偉_x0013_婏䭒偞偟䥒䕃㐨ㄱ㠵착_x0018_＀＀_x0018_＀＀_x0008_＀＀_x0001_＀＀_x0001_＀＀尨䁀嘊偉)商呌䥞彃卅䥔䅍䕔䔨卐䴬䅅ⱎ乁ⱎ〲㌱㐬ㄱ㠵착_x0018_＀＀_x0018_＀＀_x0008_＀＀_x0001_＀＀_x0001_＀＀ᚇ컙号㿫嘋偉(䙐幓䍉䕟呓䵉呁⡅偅ⱓ䕍乁䄬乎㈬㄰ⰴㄴ㔱⤸_x0018_＀＀_x0018_＀＀_x0008_＀＀_x0001_＀＀_x0001_＀＀尩슏⣵㿴嘉偉)䉈乁䥞彃卅䥔䅍䕔䔨卐䴬䅅ⱎ乁ⱎ〲㐱㐬ㄱ㠵착_x0018_＀＀_x0018_＀＀_x0008_＀＀_x0001_＀＀_x0001_＀＀퓽㿦嘊偉(䉆幃䍉䕟呓䵉呁⡅偅ⱓ䕍乁䄬乎㈬㄰ⰲㄴ㔱⤸_x0018_＀＀_x0018_＀＀_x0008_＀＀_x0001_＀＀_x0001_＀＀ꏗ㵰휊㿓嘊偉_x0013_䙂䙃偞偟䥒䕃㐨㤰㤰착_x0018_＀＀_x0018_＀＀_x0008_＀＀_x0001_＀＀_x0001_＀＀晧晦晦㿖噟偊_x0013_䥓䉖偞偟䥒䕃㐨㤰㤰착_x0018_＀＀_x0018_＀＀_x0008_＀＀_x0001_＀＀_x0001_＀＀Ẹ_xD851_䁇嘉偉_x0011_䙁偞偟䥒䕃㐨ㄱ㠵착_x0018_＀＀_x0018_＀＀_x0008_＀＀_x0001_＀＀_x0001_＀＀롒蔞퇫䀤噞偊_x001A_䡆幎彐䭍彔䅖⡌ㄴ㔱ⰹⰬ单⥄_x0018_＀＀_x0018_＀＀_x0008_＀＀_x0001_＀＀_x0001_＀＀㌳㌳㚳䂢噢偊)䙆䍂䥞彃卅䥔䅍䕔䔨卐䴬䅅ⱎ乁ⱎ〲㈱㐬ㄱ㤵착_x0018_＀＀_x0018_＀＀_x0008_＀＀_x0001_＀＀_x0001_＀＀ၢ㥘좴㿲噠偊_x0013_䍕䥂偞偟䥒䕃㐨ㄱ㤵착_x0018_＀＀_x0018_＀＀_x0008_＀＀_x0001_＀＀_x0001_＀＀롒蔞凫䀡噝偊_x001A_呍幂彐䭍彔䅖⡌ㄴ㔱ⰹⰬ单⥄_x0018_＀＀_x0018_＀＀_x0008_＀＀_x0001_＀＀_x0001_＀＀ꏗ㵰磪䃆噢偊(䭂幕䍉䕟呓䵉呁⡅偅ⱓ䕍乁䄬乎㈬㄰ⰴㄴ㔱⤹_x0018_＀＀_x0018_＀＀_x0008_＀＀_x0001_＀＀_x0001_＀＀＀＀＀＀＀＀㿺噢偊)䉉䍋䥞彃卅䥔䅍䕔䔨卐䴬䅅ⱎ乁ⱎ〲㌱㐬ㄱ㤵착_x0018_＀＀_x0018_＀＀_x0008_＀＀_x0001_＀＀_x0001_＀＀Й๖눭䀇嘋偉)䉂乃䥞彃卅䥔䅍䕔䔨卐䴬䅅ⱎ乁ⱎ〲㐱㐬ㄱ㠵착_x0018_＀＀_x0018_＀＀_x0008_＀＀_x0001_＀＀_x0001_＀＀ਾꏗ㵰㿲噛偊_x0013_䉃䡓偞偟䥒䕃㐨ㄱ㤵착_x0018_＀＀_x0018_＀＀_x0008_＀＀_x0001_＀＀_x0001_＀＀롑蔞䁄嘉偉_x0012_䉂幔彐剐䍉⡅ㄴ㔱⤸_x0018_＀＀_x0018_＀＀_x0008_＀＀_x0001_＀＀_x0001_＀＀롑┞䁀嘊偉(䉗幓䍉䕟呓䵉呁⡅偅ⱓ䕍乁䄬乎㈬㄰ⰴㄴ㔱⤸_x0018_＀＀_x0018_＀＀_x0008_＀＀_x0001_＀＀_x0001_＀＀욨㝋䆉㿼嘊偉)䉉䍏䥞彃卅䥔䅍䕔䔨卐䴬䅅ⱎ乁ⱎ〲㈱㐬ㄱ㠵착_x0018_＀＀_x0018_＀＀_x0008_＀＀_x0001_＀＀_x0001_＀＀晧晦晦㿶嘊偉_x0013_䙆䍂偞偟䥒䕃㐨ㄱ㠵착_x0018_＀＀_x0018_＀＀_x0008_＀＀_x0001_＀＀_x0001_＀＀竡긔䀰嘊偉(奃幎䍉䕟呓䵉呁⡅偅ⱓ䕍乁䄬乎㈬㄰ⰲㄴ㔱⤸_x0018_＀＀_x0018_＀＀_x0008_＀＀_x0001_＀＀_x0001_＀＀䎖沋ﯧ䀍嘊偉_x0012_剄幌彐剐䍉⡅ㄴ㔱⤸_x0018_＀＀_x0018_＀＀_x0008_＀＀_x0001_＀＀_x0001_＀＀Ẹ롑㿲嘉偉_x001B_十䍂偞䵟呋噟䱁㐨ㄱ㠵Ⱜ唬䑓착_x0018_＀＀_x0018_＀＀_x0008_＀＀_x0001_＀＀_x0001_＀＀ꗣ쒛訠䂡嘊偉)䵕児䥞彃卅䥔䅍䕔䔨卐䴬䅅ⱎ乁ⱎ〲㐱㐬ㄱ㠵착_x0018_＀＀_x0018_＀＀_x0008_＀＀_x0001_＀＀_x0001_＀＀䯇褷恁㿭嘊偉_x001B_䅗䍂偞䵟呋噟䱁㐨ㄱ㠵Ⱜ唬䑓착_x0018_＀＀_x0018_＀＀_x0008_＀＀_x0001_＀＀_x0001_＀＀龿⼚ꗝ䂔䃣偉_x0017_乆䝆䥞彃䕍乁䕟卐䱟䝔〨착_x0018_＀＀_x0018_＀＀_x0008_＀＀_x0001_＀＀_x0001_＀＀＀＀＀＀＀＀䀘嘊偉(䍔幂䍉䕟呓䵉呁⡅偅ⱓ䕍乁䄬乎㈬㄰ⰳㄴ㔱⤸_x0018_＀＀_x0018_＀＀_x0008_＀＀_x0001_＀＀_x0001_＀＀鮦⃄犰㿰嘉偉_x0014_䍆䍎幁彐剐䍉⡅ㄴ㔱⤸_x0018_＀＀_x0018_＀＀_x0008_＀＀_x0001_＀＀_x0001_＀＀＀＀＀＀_xD800_䁤噟偊_x0012_䍔幂彐剐䍉⡅〴〹⤹_x0018_＀＀_x0018_＀＀_x0008_＀＀_x0001_＀＀_x0001_＀＀炤਽ꏗ䀤嘊偉_x0012_䍆幆彐剐䍉⡅〴〹⤹_x0018_＀＀_x0018_＀＀_x0008_＀＀_x0001_＀＀_x0001_＀＀휊炣਽䀕嘋偉)呓䅓䥞彃卅䥔䅍䕔䔨卐䴬䅅ⱎ乁ⱎ〲㌱㐬ㄱ㠵착_x0018_＀＀_x0018_＀＀_x0008_＀＀_x0001_＀＀_x0001_＀＀炤਽ꏗ㿴噝偊_x001B_䵈呓偞䵟呋噟䱁㐨ㄱ㤵Ⱜ唬䑓착_x0018_＀＀_x0018_＀＀_x0008_＀＀_x0001_＀＀_x0001_＀＀Ք銣䁯䃣偉)乆䝆䥞彄卅䥔䅍䕔䔨卐䴬䅅ⱎ乁ⱎ〲㐱〬Ⱜ〬착_x0018_＀＀_x0018_＀＀_x0008_＀＀_x0001_＀＀_x0001_＀＀䂸飇㿫嘊偉)啓兓䥞彃卅䥔䅍䕔䔨卐䴬䅅ⱎ乁ⱎ〲㐱㐬ㄱ㠵착_x0018_＀＀_x0018_＀＀_x0008_＀＀_x0001_＀＀_x0001_＀＀눭욧㿯噞偊_x0012_䡆幎彐剐䍉⡅ㄴ㔱⤹_x0018_＀＀_x0018_＀＀_x0008_＀＀_x0001_＀＀_x0001_＀＀ਾꏗ뵰䀢嘊偉_x001A_䙐幓彐䭍彔䅖⡌ㄴ㔱ⰸⰬ单⥄_x0018_＀＀_x0018_＀＀_x0008_＀＀_x0001_＀＀_x0001_＀＀ែ匦蚅䂍嘊偉_x0013_䵆䥂偞偟䥒䕃㐨ㄱ㠵착_x0018_＀＀_x0018_＀＀_x0008_＀＀_x0001_＀＀_x0001_＀＀＀＀＀＀䀀䀨嘉偉_x001A_䭂幕彐䭍彔䅖⡌ㄴ㔱ⰸⰬ单⥄_x0018_＀＀_x0018_＀＀_x0008_＀＀_x0001_＀＀_x0001_＀＀⣶轜❂䂢嘋偉)乐偆䥞彃卅䥔䅍䕔䔨卐䴬䅅ⱎ乁ⱎ〲㐱㐬ㄱ㠵착_x0018_＀＀_x0018_＀＀_x0008_＀＀_x0001_＀＀_x0001_＀＀桳㽼㿷噡偊)䵆剅䥞彃卅䥔䅍䕔䔨卐䴬䅅ⱎ乁ⱎ〲㌱㐬ㄱ㤵착_x0018_＀＀_x0018_＀＀_x0008_＀＀_x0001_＀＀_x0001_＀＀摚_xDF3B_赏㿵噡偊'䙁䥞彃卅䥔䅍䕔䔨卐䴬䅅ⱎ乁ⱎ〲㈱㐬ㄱ㤵착_x0018_＀＀_x0018_＀＀_x0008_＀＀_x0001_＀＀_x0001_＀＀_xDB23_绹뱪㿠噟偊_x001A_䉗幓彐䭍彔䅖⡌ㄴ㔱ⰹⰬ单⥄_x0018_＀＀_x0018_＀＀_x0008_＀＀_x0001_＀＀_x0001_＀＀삃ꇊǅ䂟噝偊(剆幃䍉䕟呓䵉呁⡅偅ⱓ䕍乁䄬乎㈬㄰ⰲㄴ㔱⤹_x0018_＀＀_x0018_＀＀_x0008_＀＀_x0001_＀＀_x0001_＀＀⼛ⓝ脆䀅噢偊)噃䙂䥞彃卅䥔䅍䕔䔨卐䴬䅅ⱎ乁ⱎ〲㌱㐬ㄱ㤵착_x0018_＀＀_x0018_＀＀_x0008_＀＀_x0001_＀＀_x0001_＀＀ﯨ䷒㿮䃣偉)䉐呃䥞彄卅䥔䅍䕔䔨卐䴬䅅ⱎ乁ⱎ〲㌱〬Ⱜ〬착_x0018_＀＀_x0018_＀＀_x0008_＀＀_x0001_＀＀_x0001_＀＀㊒⻳鴨㿪噞偊_x0012_呓幉彐剐䍉⡅〴〹⤹_x0018_＀＀_x0018_＀＀_x0008_＀＀_x0001_＀＀_x0001_＀＀㌳㌳댳䀱嘉偉_x001B_䅗䑆偞䵟呋噟䱁㐨ㄱ㠵Ⱜ唬䑓착_x0018_＀＀_x0018_＀＀_x0008_＀＀_x0001_＀＀_x0001_＀＀鮥乄䂛嘋偉(䅗幌䍉䕟呓䵉呁⡅偅ⱓ䕍乁䄬乎㈬㄰ⰴㄴ㔱⤸_x0018_＀＀_x0018_＀＀_x0008_＀＀_x0001_＀＀_x0001_＀＀ᑻ䞮竡㿰噟偊_x001B_䵕児偞䵟呋噟䱁㐨ㄱ㤵Ⱜ唬䑓착_x0018_＀＀_x0018_＀＀_x0008_＀＀_x0001_＀＀_x0001_＀＀䷒멢䂖噡偊(䡆幎䍉䕟呓䵉呁⡅偅ⱓ䕍乁䄬乎㈬㄰ⰳㄴ㔱⤹_x0018_＀＀_x0018_＀＀_x0008_＀＀_x0001_＀＀_x0001_＀＀휊炣਽㿫噛偊_x0012_奃幎彐剐䍉⡅ㄴ㔱⤹_x0018_＀＀_x0018_＀＀_x0008_＀＀_x0001_＀＀_x0001_＀＀⣶轜헂䁊嘋偉(䉃幕䍉䕟呓䵉呁⡅偅ⱓ䕍乁䄬乎㈬㄰ⰲㄴ㔱⤸_x0018_＀＀_x0018_＀＀_x0008_＀＀_x0001_＀＀_x0001_＀＀⼛ⓝ脆䀀嘋偉(奎幂䍉䕟呓䵉呁⡅偅ⱓ䕍乁䄬乎㈬㄰ⰲㄴ㔱⤸_x0018_＀＀_x0018_＀＀_x0008_＀＀_x0001_＀＀_x0001_＀＀＀＀＀＀＀＀㿲嘉偉_x001A_呓幉彐䭍彔䅖⡌ㄴ㔱ⰸⰬ单⥄_x0018_＀＀_x0018_＀＀_x0008_＀＀_x0001_＀＀_x0001_＀＀溘茒འ䃌嘋偉(乆幂䍉䕟呓䵉呁⡅偅ⱓ䕍乁䄬乎㈬㄰ⰴㄴ㔱⤸_x0018_＀＀_x0018_＀＀_x0008_＀＀_x0001_＀＀_x0001_＀＀컙号ꗣ㿯嘋偉)婏䭒䥞彃卅䥔䅍䕔䔨卐䴬䅅ⱎ乁ⱎ〲㌱㐬ㄱ㠵착_x0018_＀＀_x0018_＀＀_x0008_＀＀_x0001_＀＀_x0001_＀＀＀＀＀＀＀＀䀂噞偊(䕋幙䍉䕟呓䵉呁⡅偅ⱓ䕍乁䄬乎㈬㄰ⰴㄴ㔱⤹_x0018_＀＀_x0018_＀＀_x0008_＀＀_x0001_＀＀_x0001_＀＀犰酨糭㿯嘊偉)䅗䑆䥞彃卅䥔䅍䕔䔨卐䴬䅅ⱎ乁ⱎ〲㈱㐬ㄱ㠵착_x0018_＀＀_x0018_＀＀_x0008_＀＀_x0001_＀＀_x0001_＀＀_xDF3C_赏溗㿴噟偊_x0012_佂幈彐剐䍉⡅〴〹⤹_x0018_＀＀_x0018_＀＀_x0008_＀＀_x0001_＀＀_x0001_＀＀蔟凫㺸䁆噡偊_x0013_婏䭒偞偟䥒䕃㐨ㄱ㤵착_x0018_＀＀_x0018_＀＀_x0008_＀＀_x0001_＀＀_x0001_＀＀롒蔞퇫䁀噠偊_x001B_䍕䥂偞䵟呋噟䱁㐨ㄱ㤵Ⱜ唬䑓착_x0018_＀＀_x0018_＀＀_x0008_＀＀_x0001_＀＀_x0001_＀＀ःᾊ㥣䁿噜偊_x001B_剔䭍偞䵟呋噟䱁㐨ㄱ㤵Ⱜ唬䑓착_x0018_＀＀_x0018_＀＀_x0008_＀＀_x0001_＀＀_x0001_＀＀㌴㌳䂘䃤偉_x0014_䉃奃幂彐剐䍉⡅〴㤷⤳_x0018_＀＀_x0018_＀＀_x0008_＀＀_x0001_＀＀_x0001_＀＀＀＀＀＀ 䁴噟偊_x0012_䉗幓彐剐䍉⡅〴〹⤹_x0018_＀＀_x0018_＀＀_x0008_＀＀_x0001_＀＀_x0001_＀＀炤਽揗䀴噡偊)商呌䥞彃卅䥔䅍䕔䔨卐䴬䅅ⱎ乁ⱎ〲㌱㐬ㄱ㤵착_x0018_＀＀_x0018_＀＀_x0008_＀＀_x0001_＀＀_x0001_＀＀ᚇ컙号㿫噛偊_x001A_䙃幒彐䭍彔䅖⡌ㄴ㔱ⰹⰬ单⥄_x0018_＀＀_x0018_＀＀_x0008_＀＀_x0001_＀＀_x0001_＀＀㭥俟멍䂫噟偊_x0013_剃䍂偞偟䥒䕃㐨㤰㤰착_x0018_＀＀_x0018_＀＀_x0008_＀＀_x0001_＀＀_x0001_＀＀쳍쳌쳌䀦嘋偉(剄幌䍉䕟呓䵉呁⡅偅ⱓ䕍乁䄬乎㈬㄰ⰲㄴ㔱⤸_x0018_＀＀_x0018_＀＀_x0008_＀＀_x0001_＀＀_x0001_＀＀Ẹ롑㾞噞偊)䉈乁䥞彃卅䥔䅍䕔䔨卐䴬䅅ⱎ乁ⱎ〲㐱㐬ㄱ㤵착_x0018_＀＀_x0018_＀＀_x0008_＀＀_x0001_＀＀_x0001_＀＀퓽㿦嘉偉(䵃幁䍉䕟呓䵉呁⡅偅ⱓ䕍乁䄬乎㈬㄰ⰳㄴ㔱⤸_x0018_＀＀_x0018_＀＀_x0008_＀＀_x0001_＀＀_x0001_＀＀嘄ⴎ鶲䀅嘊偉)䥆乎䥞彃卅䥔䅍䕔䔨卐䴬䅅ⱎ乁ⱎ〲㈱㐬ㄱ㠵착_x0014_＀＀_x0018_＀＀_x0004_＀＀_x0001_＀＀_x0003_＀＀＀＀耀嘊偉(䙃幒䍉䕟呓䵉呁⡅偅ⱓ䕍乁䄬乎㈬㄰ⰳㄴ㔱⤸_x0018_＀＀_x0018_＀＀_x0008_＀＀_x0001_＀＀_x0001_＀＀酩糭㔿䀎噟偊_x0011_䙁偞偟䥒䕃㐨ㄱ㤵착_x0018_＀＀_x0018_＀＀_x0008_＀＀_x0001_＀＀_x0001_＀＀⣶轜䀤嘊偉_x0013_南䍂偞偟䥒䕃㐨㤰㤰착_x0018_＀＀_x0018_＀＀_x0008_＀＀_x0001_＀＀_x0001_＀＀Ẹ硑䀳嘋偉(千幅䍉䕟呓䵉呁⡅偅ⱓ䕍乁䄬乎㈬㄰ⰲㄴ㔱⤸_x0018_＀＀_x0018_＀＀_x0008_＀＀_x0001_＀＀_x0001_＀＀퓾ㄦ䀀嘋偉(剐幋䍉䕟呓䵉呁⡅偅ⱓ䕍乁䄬乎㈬㄰ⰴㄴ㔱⤸_x0018_＀＀_x0018_＀＀_x0008_＀＀_x0001_＀＀_x0001_＀＀Ẹ롑䀕嘋偉)佈䉍䥞彃卅䥔䅍䕔䔨卐䴬䅅ⱎ乁ⱎ〲㐱㐬ㄱ㠵착_x0018_＀＀_x0018_＀＀_x0008_＀＀_x0001_＀＀_x0001_＀＀豀碵꼝쐕噢偊)䉉䍏䥞彃卅䥔䅍䕔䔨卐䴬䅅ⱎ乁ⱎ〲㈱㐬ㄱ㤵착_x0018_＀＀_x0018_＀＀_x0008_＀＀_x0001_＀＀_x0001_＀＀晧晦晦㿶噡偊(䉗幓䍉䕟呓䵉呁⡅偅ⱓ䕍乁䄬乎㈬㄰ⰴㄴ㔱⤹_x0018_＀＀_x0018_＀＀_x0008_＀＀_x0001_＀＀_x0001_＀＀욨㝋䆉㿼噝偊_x0012_䉂幔彐剐䍉⡅ㄴ㔱⤹_x0018_＀＀_x0018_＀＀_x0008_＀＀_x0001_＀＀_x0001_＀＀슏⣵潜䁀嘉偉_x001A_乆幂彐䭍彔䅖⡌ㄴ㔱ⰸⰬ单⥄_x0018_＀＀_x0018_＀＀_x0008_＀＀_x0001_＀＀_x0001_＀＀䷒믢䂘嘉偉)䥚乏䥞彃卅䥔䅍䕔䔨卐䴬䅅ⱎ乁ⱎ〲㈱㐬ㄱ㠵착_x0018_＀＀_x0018_＀＀_x0008_＀＀_x0001_＀＀_x0001_＀＀롒蔞凫㿲噠偊_x0013_䙆䍂偞偟䥒䕃㐨ㄱ㤵착_x0018_＀＀_x0018_＀＀_x0008_＀＀_x0001_＀＀_x0001_＀＀凬Ẹ⮅䀱噝偊(奃幎䍉䕟呓䵉呁⡅偅ⱓ䕍乁䄬乎㈬㄰ⰲㄴ㔱⤹_x0018_＀＀_x0018_＀＀_x0008_＀＀_x0001_＀＀_x0001_＀＀䎖沋ﯧ䀍噢偊)䵕児䥞彃卅䥔䅍䕔䔨卐䴬䅅ⱎ乁ⱎ〲㐱㐬ㄱ㤵착_x0018_＀＀_x0018_＀＀_x0008_＀＀_x0001_＀＀_x0001_＀＀䯇褷恁㿭嘋偉)䍓呂䥞彃卅䥔䅍䕔䔨卐䴬䅅ⱎ乁ⱎ〲㈱㐬ㄱ㠵착_x0018_＀＀_x0018_＀＀_x0008_＀＀_x0001_＀＀_x0001_＀＀譄ꧻ䀂噡偊(䍔幂䍉䕟呓䵉呁⡅偅ⱓ䕍乁䄬乎㈬㄰ⰳㄴ㔱⤹_x0018_＀＀_x0018_＀＀_x0008_＀＀_x0001_＀＀_x0001_＀＀鮦⃄犰㿰嘋偉)䵆䥂䥞彃卅䥔䅍䕔䔨卐䴬䅅ⱎ乁ⱎ〲㐱㐬ㄱ㠵착_x0018_＀＀_x0018_＀＀_x0008_＀＀_x0001_＀＀_x0001_＀＀㌴㌳㌳㿳嘉偉_x0011_䙒偞偟䥒䕃㐨ㄱ㠵착_x0018_＀＀_x0018_＀＀_x0008_＀＀_x0001_＀＀_x0001_＀＀竡긔䀜噟偊_x0013_䉉䍏偞偟䥒䕃㐨㤰㤰착_x0018_＀＀_x0018_＀＀_x0008_＀＀_x0001_＀＀_x0001_＀＀⣶轜嗂䀲噡偊)啓兓䥞彃卅䥔䅍䕔䔨卐䴬䅅ⱎ乁ⱎ〲㐱㐬ㄱ㤵착_x0018_＀＀_x0018_＀＀_x0008_＀＀_x0001_＀＀_x0001_＀＀눭욧㿯嘉偉_x0012_乏幂彐剐䍉⡅ㄴ㔱⤸_x0018_＀＀_x0018_＀＀_x0008_＀＀_x0001_＀＀_x0001_＀＀尩슏⣵䀫噞偊_x0013_䥚乏偞偟䥒䕃㐨㤰㤰착_x0018_＀＀_x0018_＀＀_x0008_＀＀_x0001_＀＀_x0001_＀＀ᑺ䞮䀰噢偊)乐偆䥞彃卅䥔䅍䕔䔨卐䴬䅅ⱎ乁ⱎ〲㐱㐬ㄱ㤵착_x0018_＀＀_x0018_＀＀_x0008_＀＀_x0001_＀＀_x0001_＀＀桳㽼㿷噠偊_x0013_䵆䥂偞偟䥒䕃㐨ㄱ㤵착_x0018_＀＀_x0018_＀＀_x0008_＀＀_x0001_＀＀_x0001_＀＀竡긔慇䀩噟偊_x001B_䉓奎偞䵟呋噟䱁㐨ㄱ㤵Ⱜ唬䑓착_x0018_＀＀_x0018_＀＀_x0008_＀＀_x0001_＀＀_x0001_＀＀帵䦺靌䂧嘉偉_x0013_䙃乆偞偟䥒䕃㐨ㄱ㠵착_x0018_＀＀_x0018_＀＀_x0008_＀＀_x0001_＀＀_x0001_＀＀㵱휊䀧䃤偉_x0012_䉆幃彐剐䍉⡅〴㤷⤳_x0018_＀＀_x0018_＀＀_x0008_＀＀_x0001_＀＀_x0001_＀＀_xDA51_簛㉡㿣嘊偉)䉃䡓䥞彃卅䥔䅍䕔䔨卐䴬䅅ⱎ乁ⱎ〲㐱㐬ㄱ㠵착_x0018_＀＀_x0018_＀＀_x0008_＀＀_x0001_＀＀_x0001_＀＀ᑺ䞮䀉嘊偉_x001B_噃䙂偞䵟呋噟䱁㐨ㄱ㠵Ⱜ唬䑓착_x0018_＀＀_x0018_＀＀_x0008_＀＀_x0001_＀＀_x0001_＀＀酩糭ﶿ䂓嘊偉(䭂幕䍉䕟呓䵉呁⡅偅ⱓ䕍乁䄬乎㈬㄰ⰲㄴ㔱⤸_x0018_＀＀_x0018_＀＀_x0008_＀＀_x0001_＀＀_x0001_＀＀酩糭㔿㿼噢偊(䅗幌䍉䕟呓䵉呁⡅偅ⱓ䕍乁䄬乎㈬㄰ⰴㄴ㔱⤹_x0018_＀＀_x0018_＀＀_x0008_＀＀_x0001_＀＀_x0001_＀＀ᑻ䞮竡㿰䃣偉_x0017_䉐呃䥞彃䕍乁䕟卐䱟䝔〨착_x0018_＀＀_x0018_＀＀_x0008_＀＀_x0001_＀＀_x0001_＀＀쳍쳌䳌䀢嘉偉_x0019_䉐偞䵟呋噟䱁㐨ㄱ㠵Ⱜ唬䑓착_x0018_＀＀_x0018_＀＀_x0008_＀＀_x0001_＀＀_x0001_＀＀إ閁檃䂣嘉偉_x0013_䵈呓偞偟䥒䕃㐨ㄱ㠵착_x0018_＀＀_x0018_＀＀_x0008_＀＀_x0001_＀＀_x0001_＀＀롒蔞ᇫ䁂䃡偉_x0013_奎幂䝆偟䥒䕃㐨㤰㤰착_x0018_＀＀_x0018_＀＀_x0008_＀＀_x0001_＀＀_x0001_＀＀਽ꏗ뵰䀨噢偊(奎幂䍉䕟呓䵉呁⡅偅ⱓ䕍乁䄬乎㈬㄰ⰲㄴ㔱⤹_x0018_＀＀_x0018_＀＀_x0008_＀＀_x0001_＀＀_x0001_＀＀＀＀＀＀＀＀㿲噢偊(䉃幕䍉䕟呓䵉呁⡅偅ⱓ䕍乁䄬乎㈬㄰ⰲㄴ㔱⤹_x0018_＀＀_x0018_＀＀_x0008_＀＀_x0001_＀＀_x0001_＀＀⼛ⓝ脆䀀䃤偉_x0012_䅗幌彐剐䍉⡅〴㤷⤳_x0018_＀＀_x0018_＀＀_x0008_＀＀_x0001_＀＀_x0001_＀＀휊炣਽䀗䃤偉_x0014_䉈䍈䙞彇剐䍉⡅〴〹⤹_x0018_＀＀_x0018_＀＀_x0008_＀＀_x0001_＀＀_x0001_＀＀Ẹ䀿嘊偉_x001B_乆䝆偞䵟呋噟䱁㐨ㄱ㠵Ⱜ唬䑓착_x0018_＀＀_x0018_＀＀_x0008_＀＀_x0001_＀＀_x0001_＀＀赐溗髒䂦䃤偉_x0013_䉕䥓偞偟䥒䕃㐨㜰㌹착_x0018_＀＀_x0018_＀＀_x0008_＀＀_x0001_＀＀_x0001_＀＀롒蔞퇫䀵䃤偉_x0013_䉈乁偞偟䥒䕃㐨㜰㌹착_x0018_＀＀_x0018_＀＀_x0008_＀＀_x0001_＀＀_x0001_＀＀竡긔䀓噡偊_x0012_奎幂彐剐䍉⡅〴〹⤹_x0018_＀＀_x0018_＀＀_x0008_＀＀_x0001_＀＀_x0001_＀＀ਾꏗ뵰䀨嘉偉)䵈呓䥞彃卅䥔䅍䕔䔨卐䴬䅅ⱎ乁ⱎ〲㐱㐬ㄱ㠵착_x0018_＀＀_x0018_＀＀_x0008_＀＀_x0001_＀＀_x0001_＀＀豀碵꼝쐕嘊偉(佂幈䍉䕟呓䵉呁⡅偅ⱓ䕍乁䄬乎㈬㄰ⰳㄴ㔱⤸_x0018_＀＀_x0018_＀＀_x0008_＀＀_x0001_＀＀_x0001_＀＀뀡桲䀋噢偊)婏䭒䥞彃卅䥔䅍䕔䔨卐䴬䅅ⱎ乁ⱎ〲㌱㐬ㄱ㤵착_x0018_＀＀_x0018_＀＀_x0008_＀＀_x0001_＀＀_x0001_＀＀＀＀＀＀＀＀䀂噞偊_x001B_䥚乏偞䵟呋噟䱁㐨ㄱ㤵Ⱜ唬䑓착_x0018_＀＀_x0018_＀＀_x0008_＀＀_x0001_＀＀_x0001_＀＀⃅犰㑨䂭噟偊_x0013_啓兓偞偟䥒䕃㐨㤰㤰착_x0018_＀＀_x0018_＀＀_x0008_＀＀_x0001_＀＀_x0001_＀＀尨슏䀠嘊偉)䵕䙂䥞彃卅䥔䅍䕔䔨卐䴬䅅ⱎ乁ⱎ〲㌱㐬ㄱ㠵착_x0018_＀＀_x0018_＀＀_x0008_＀＀_x0001_＀＀_x0001_＀＀鞍ቮ삃䀈嘊偉_x0013_䥆䭂偞偟䥒䕃㐨ㄱ㠵착_x0018_＀＀_x0018_＀＀_x0008_＀＀_x0001_＀＀_x0001_＀＀＀＀＀＀＀＀䀭嘊偉)䉓奎䥞彃卅䥔䅍䕔䔨卐䴬䅅ⱎ乁ⱎ〲㐱㐬ㄱ㠵착_x0018_＀＀_x0018_＀＀_x0008_＀＀_x0001_＀＀_x0001_＀＀蜫_xD916_矎䀒䃤偉_x0013_䉇䥃偞偟䥒䕃㐨㜰㌹착_x0018_＀＀_x0018_＀＀_x0008_＀＀_x0001_＀＀_x0001_＀＀긕ᑺ䀦噟偊_x001B_䉉䍏偞䵟呋噟䱁㐨ㄱ㤵Ⱜ唬䑓착_x0018_＀＀_x0018_＀＀_x0008_＀＀_x0001_＀＀_x0001_＀＀⬂ᚇ晙䂔嘋偉(乏幂䍉䕟呓䵉呁⡅偅ⱓ䕍乁䄬乎㈬㄰ⰴㄴ㔱⤸_x0018_＀＀_x0018_＀＀_x0008_＀＀_x0001_＀＀_x0001_＀＀馚香香㿳嘋偉)䥆䭂䥞彃卅䥔䅍䕔䔨卐䴬䅅ⱎ乁ⱎ〲㌱㐬ㄱ㠵착_x0018_＀＀_x0018_＀＀_x0008_＀＀_x0001_＀＀_x0001_＀＀ᑻ䞮竡㿴嘋偉)䡃䍆䥞彃卅䥔䅍䕔䔨卐䴬䅅ⱎ乁ⱎ〲㈱㐬ㄱ㠵착_x0018_＀＀_x0018_＀＀_x0008_＀＀_x0001_＀＀_x0001_＀＀ꏗ㵰휊㿽噞偊(䵃幁䍉䕟呓䵉呁⡅偅ⱓ䕍乁䄬乎㈬㄰ⰳㄴ㔱⤹_x0018_＀＀_x0018_＀＀_x0008_＀＀_x0001_＀＀_x0001_＀＀嘄ⴎ鶲䀅嘊偉_x0013_䅂䙎偞偟䥒䕃㐨ㄱ㠵착_x0018_＀＀_x0018_＀＀_x0008_＀＀_x0001_＀＀_x0001_＀＀휊炣樽䁅嘊偉_x0013_䍔䥂偞偟䥒䕃㐨ㄱ㠵착_x0018_＀＀_x0018_＀＀_x0008_＀＀_x0001_＀＀_x0001_＀＀롒蔞釫䁇嘉偉_x001B_䉕䥓偞䵟呋噟䱁㐨ㄱ㠵Ⱜ唬䑓착_x0018_＀＀_x0018_＀＀_x0008_＀＀_x0001_＀＀_x0001_＀＀赐溗䌒䂓嘋偉)䍐䍂䥞彃卅䥔䅍䕔䔨卐䴬䅅ⱎ乁ⱎ〲㈱㐬ㄱ㠵착_x0018_＀＀_x0018_＀＀_x0008_＀＀_x0001_＀＀_x0001_＀＀豀碵꼝쐕噝偊(䙃幒䍉䕟呓䵉呁⡅偅ⱓ䕍乁䄬乎㈬㄰ⰳㄴ㔱⤹_x0018_＀＀_x0018_＀＀_x0008_＀＀_x0001_＀＀_x0001_＀＀酩糭㔿䀎嘉偉)䥆䉔䥞彃卅䥔䅍䕔䔨卐䴬䅅ⱎ乁ⱎ〲㌱㐬ㄱ㠵착_x0018_＀＀_x0018_＀＀_x0008_＀＀_x0001_＀＀_x0001_＀＀갈娜㭤㿹嘋偉)䅗䍂䥞彃卅䥔䅍䕔䔨卐䴬䅅ⱎ乁ⱎ〲㐱㐬ㄱ㠵착_x0018_＀＀_x0018_＀＀_x0008_＀＀_x0001_＀＀_x0001_＀＀蔟凫Ẹ䀇䃤偉_x0015_䍆䍎幁䝆偟䥒䕃㐨㤰㤰착_x0018_＀＀_x0018_＀＀_x0008_＀＀_x0001_＀＀_x0001_＀＀ᑺ_xDFAE_䁥噟偊_x001A_佂幈彐䭍彔䅖⡌ㄴ㔱ⰹⰬ单⥄_x0018_＀＀_x0018_＀＀_x0008_＀＀_x0001_＀＀_x0001_＀＀욧줋䂠嘉偉_x0012_乆幂彐剐䍉⡅〴〹⤹_x0018_＀＀_x0018_＀＀_x0008_＀＀_x0001_＀＀_x0001_＀＀蔟凫麸䀦嘉偉(䕋幙䍉䕟呓䵉呁⡅偅ⱓ䕍乁䄬乎㈬㄰ⰲㄴ㔱⤸_x0018_＀＀_x0018_＀＀_x0008_＀＀_x0001_＀＀_x0001_＀＀䆉⋐㿫噢偊)佈䉍䥞彃卅䥔䅍䕔䔨卐䴬䅅ⱎ乁ⱎ〲㐱㐬ㄱ㤵착_x0018_＀＀_x0018_＀＀_x0008_＀＀_x0001_＀＀_x0001_＀＀豀碵꼝쐕噢偊(剐幋䍉䕟呓䵉呁⡅偅ⱓ䕍乁䄬乎㈬㄰ⰴㄴ㔱⤹_x0018_＀＀_x0018_＀＀_x0008_＀＀_x0001_＀＀_x0001_＀＀Ẹ롑䀕噢偊(千幅䍉䕟呓䵉呁⡅偅ⱓ䕍乁䄬乎㈬㄰ⰲㄴ㔱⤹_x0018_＀＀_x0018_＀＀_x0008_＀＀_x0001_＀＀_x0001_＀＀퓾ㄦ䀀噟偊_x001B_䉈䍈偞䵟呋噟䱁㐨ㄱ㤵Ⱜ唬䑓착_x0018_＀＀_x0018_＀＀_x0008_＀＀_x0001_＀＀_x0001_＀＀눭蓧䂤噞偊)䥚乏䥞彃卅䥔䅍䕔䔨卐䴬䅅ⱎ乁ⱎ〲㈱㐬ㄱ㤵착_x0018_＀＀_x0018_＀＀_x0008_＀＀_x0001_＀＀_x0001_＀＀롒蔞凫㿲䃤偉_x0013_䙂䙃偞偟䥒䕃㐨㜰㌹착_x0018_＀＀_x0018_＀＀_x0008_＀＀_x0001_＀＀_x0001_＀＀蔟凫Ẹ㿕嘋偉)䍕䥂䥞彃卅䥔䅍䕔䔨卐䴬䅅ⱎ乁ⱎ〲㌱㐬ㄱ㠵착_x0018_＀＀_x0018_＀＀_x0008_＀＀_x0001_＀＀_x0001_＀＀إ閁譃㿤䃤偉_x0013_䥓䉖偞偟䥒䕃㐨㜰㌹착_x0018_＀＀_x0018_＀＀_x0008_＀＀_x0001_＀＀_x0001_＀＀尨芏䁆噢偊)䍓呂䥞彃卅䥔䅍䕔䔨卐䴬䅅ⱎ乁ⱎ〲㈱㐬ㄱ㤵착_x0018_＀＀_x0018_＀＀_x0008_＀＀_x0001_＀＀_x0001_＀＀譄ꧻ䀂噢偊)䵆䥂䥞彃卅䥔䅍䕔䔨卐䴬䅅ⱎ乁ⱎ〲㐱㐬ㄱ㤵착_x0018_＀＀_x0018_＀＀_x0008_＀＀_x0001_＀＀_x0001_＀＀㌴㌳㌳㿳嘊偉)呗䍆䥞彃卅䥔䅍䕔䔨卐䴬䅅ⱎ乁ⱎ〲㌱㐬ㄱ㠵착_x0018_＀＀_x0018_＀＀_x0008_＀＀_x0001_＀＀_x0001_＀＀_xDD2F_ؤ閁䀃嘋偉(䙐幓䍉䕟呓䵉呁⡅偅ⱓ䕍乁䄬乎㈬㄰ⰲㄴ㔱⤸_x0018_＀＀_x0018_＀＀_x0008_＀＀_x0001_＀＀_x0001_＀＀ⴎ鶲꟯㿲噝偊_x0011_䙒偞偟䥒䕃㐨ㄱ㤵착_x0018_＀＀_x0018_＀＀_x0008_＀＀_x0001_＀＀_x0001_＀＀ᑻ䞮竡䀝嘊偉_x001B_䅂䙎偞䵟呋噟䱁㐨ㄱ㠵Ⱜ唬䑓착_x0018_＀＀_x0018_＀＀_x0008_＀＀_x0001_＀＀_x0001_＀＀쯻짮䫃䂄嘉偉)䉈乁䥞彃卅䥔䅍䕔䔨卐䴬䅅ⱎ乁ⱎ〲㈱㐬ㄱ㠵착_x0018_＀＀_x0018_＀＀_x0008_＀＀_x0001_＀＀_x0001_＀＀蔟凫Ẹ㿥噟偊_x0012_乏幂彐剐䍉⡅ㄴ㔱⤹_x0018_＀＀_x0018_＀＀_x0008_＀＀_x0001_＀＀_x0001_＀＀竡긔慇䀫噠偊_x001B_䥆䭂偞䵟呋噟䱁㐨ㄱ㤵Ⱜ唬䑓착_x0018_＀＀_x0018_＀＀_x0008_＀＀_x0001_＀＀_x0001_＀＀ꞇ쩗젲䁮䃡偉_x0013_䱖幙䝆偟䥒䕃㐨㤰㤰착_x0018_＀＀_x0018_＀＀_x0008_＀＀_x0001_＀＀_x0001_＀＀緘还䀧噝偊)䉃䡓䥞彃卅䥔䅍䕔䔨卐䴬䅅ⱎ乁ⱎ〲㐱㐬ㄱ㤵착_x0018_＀＀_x0018_＀＀_x0008_＀＀_x0001_＀＀_x0001_＀＀ᑺ䞮䀉嘉偉_x001A_剆幃彐䭍彔䅖⡌ㄴ㔱ⰸⰬ单⥄_x0018_＀＀_x0018_＀＀_x0008_＀＀_x0001_＀＀_x0001_＀＀탥_xDB22_쓙䂰嘉偉_x0013_剔䭍偞偟䥒䕃㐨ㄱ㠵착_x0018_＀＀_x0018_＀＀_x0008_＀＀_x0001_＀＀_x0001_＀＀ꏗ㵰霊䀸䃤偉_x0012_䍆幆彐剐䍉⡅〴㤷⤳_x0018_＀＀_x0018_＀＀_x0008_＀＀_x0001_＀＀_x0001_＀＀㌳㌳㌳䀑䃤偉_x0012_䍔幂彐剐䍉⡅〴㤷⤳_x0018_＀＀_x0018_＀＀_x0008_＀＀_x0001_＀＀_x0001_＀＀轜_xDC28_䀣噢偊(䭂幕䍉䕟呓䵉呁⡅偅ⱓ䕍乁䄬乎㈬㄰ⰲㄴ㔱⤹_x0018_＀＀_x0018_＀＀_x0008_＀＀_x0001_＀＀_x0001_＀＀酩糭㔿㿼嘋偉)䉂乃䥞彃卅䥔䅍䕔䔨卐䴬䅅ⱎ乁ⱎ〲㈱㐬ㄱ㠵착_x0018_＀＀_x0018_＀＀_x0008_＀＀_x0001_＀＀_x0001_＀＀脆䎕沋㿯嘊偉_x001A_奎幂彐䭍彔䅖⡌ㄴ㔱ⰸⰬ单⥄_x0018_＀＀_x0018_＀＀_x0008_＀＀_x0001_＀＀_x0001_＀＀绺뱪䛔䂷嘊偉(䉗幓䍉䕟呓䵉呁⡅偅ⱓ䕍乁䄬乎㈬㄰ⰲㄴ㔱⤸_x0018_＀＀_x0018_＀＀_x0008_＀＀_x0001_＀＀_x0001_＀＀茓쫀䖡㿼噝偊_x0012_剆幃彐剐䍉⡅〴〹⤹_x0018_＀＀_x0018_＀＀_x0008_＀＀_x0001_＀＀_x0001_＀＀轜鰨䀾噟偊_x0013_䉓奎偞偟䥒䕃㐨㤰㤰착_x0018_＀＀_x0018_＀＀_x0008_＀＀_x0001_＀＀_x0001_＀＀蔟凫ﺸ䁍嘊偉)䵕児䥞彃卅䥔䅍䕔䔨卐䴬䅅ⱎ乁ⱎ〲㈱㐬ㄱ㠵착_x0018_＀＀_x0018_＀＀_x0008_＀＀_x0001_＀＀_x0001_＀＀磕⛩࠱㿬噝偊_x0013_䵈呓偞偟䥒䕃㐨ㄱ㤵착_x0018_＀＀_x0018_＀＀_x0008_＀＀_x0001_＀＀_x0001_＀＀쳍쳌쳌䁁䃣偉(奎幂䑉䕟呓䵉呁⡅偅ⱓ䕍乁䄬乎㈬㄰ⰴⰰⰬ⤰_x0018_＀＀_x0018_＀＀_x0008_＀＀_x0001_＀＀_x0001_＀＀⩞䑵㿰嘊偉_x001B_䉎䉔偞䵟呋噟䱁㐨ㄱ㠵Ⱜ唬䑓착_x0018_＀＀_x0018_＀＀_x0008_＀＀_x0001_＀＀_x0001_＀＀윑뢺_xD88D_䂆䃤偉_x0012_呓幉彐剐䍉⡅〴㤷⤳_x0018_＀＀_x0018_＀＀_x0008_＀＀_x0001_＀＀_x0001_＀＀尩슏ꣵ䀳嘉偉(呓幉䍉䕟呓䵉呁⡅偅ⱓ䕍乁䄬乎㈬㄰ⰳㄴ㔱⤸_x0018_＀＀_x0018_＀＀_x0008_＀＀_x0001_＀＀_x0001_＀＀_xD917_䀄嘊偉)啓兓䥞彃卅䥔䅍䕔䔨卐䴬䅅ⱎ乁ⱎ〲㈱㐬ㄱ㠵착_x0018_＀＀_x0018_＀＀_x0008_＀＀_x0001_＀＀_x0001_＀＀⛪࠱Წ㿪噡偊(佂幈䍉䕟呓䵉呁⡅偅ⱓ䕍乁䄬乎㈬㄰ⰳㄴ㔱⤹_x0018_＀＀_x0018_＀＀_x0008_＀＀_x0001_＀＀_x0001_＀＀뀡桲䀋噝偊)䵈呓䥞彃卅䥔䅍䕔䔨卐䴬䅅ⱎ乁ⱎ〲㐱㐬ㄱ㤵착_x0018_＀＀_x0018_＀＀_x0008_＀＀_x0001_＀＀_x0001_＀＀豀碵꼝쐕嘋偉)䉕䥓䥞彃卅䥔䅍䕔䔨卐䴬䅅ⱎ乁ⱎ〲㌱㐬ㄱ㠵착_x0018_＀＀_x0018_＀＀_x0008_＀＀_x0001_＀＀_x0001_＀＀⋐率㿼嘋偉)乐偆䥞彃卅䥔䅍䕔䔨卐䴬䅅ⱎ乁ⱎ〲㈱㐬ㄱ㠵착_x0018_＀＀_x0018_＀＀_x0008_＀＀_x0001_＀＀_x0001_＀＀司ꗣ쒛㿰嘉偉_x001A_千幅彐䭍彔䅖⡌ㄴ㔱ⰸⰬ单⥄_x0018_＀＀_x0018_＀＀_x0008_＀＀_x0001_＀＀_x0001_＀＀赐溗䂘嘋偉)䍔䥂䥞彃卅䥔䅍䕔䔨卐䴬䅅ⱎ乁ⱎ〲㌱㐬ㄱ㠵착_x0018_＀＀_x0018_＀＀_x0008_＀＀_x0001_＀＀_x0001_＀＀뙆ﷳ磔䀉嘋偉)䉐呃䥞彃卅䥔䅍䕔䔨卐䴬䅅ⱎ乁ⱎ〲㐱㐬ㄱ㠵착_x0018_＀＀_x0018_＀＀_x0008_＀＀_x0001_＀＀_x0001_＀＀ၢ㥘좴㿮噡偊)䵕䙂䥞彃卅䥔䅍䕔䔨卐䴬䅅ⱎ乁ⱎ〲㌱㐬ㄱ㤵착_x0018_＀＀_x0018_＀＀_x0008_＀＀_x0001_＀＀_x0001_＀＀鞍ቮ삃䀈噠偊_x0013_䥆䭂偞偟䥒䕃㐨ㄱ㤵착_x0018_＀＀_x0018_＀＀_x0008_＀＀_x0001_＀＀_x0001_＀＀尩슏⣵䀭嘊偉_x0012_䉃幕彐剐䍉⡅ㄴ㔱⤸_x0018_＀＀_x0018_＀＀_x0008_＀＀_x0001_＀＀_x0001_＀＀쳍쳌쳌䀼噠偊_x0013_䍕䥂偞偟䥒䕃㐨㤰㤰착_x0018_＀＀_x0018_＀＀_x0008_＀＀_x0001_＀＀_x0001_＀＀⣶轜䀛噡偊)䉓奎䥞彃卅䥔䅍䕔䔨卐䴬䅅ⱎ乁ⱎ〲㐱㐬ㄱ㤵착_x0018_＀＀_x0018_＀＀_x0008_＀＀_x0001_＀＀_x0001_＀＀蜫_xD916_矎䀒嘊偉_x001B_䅐坃偞䵟呋噟䱁㐨ㄱ㠵Ⱜ唬䑓착_x0018_＀＀_x0018_＀＀_x0008_＀＀_x0001_＀＀_x0001_＀＀⁜ꃣ䂊噛偊_x0013_䉃䡓偞偟䥒䕃㐨㤰㤰착_x0018_＀＀_x0018_＀＀_x0008_＀＀_x0001_＀＀_x0001_＀＀슏⣵ཛྷ䁃嘋偉(䅗幌䍉䕟呓䵉呁⡅偅ⱓ䕍乁䄬乎㈬㄰ⰲㄴ㔱⤸_x0018_＀＀_x0018_＀＀_x0008_＀＀_x0001_＀＀_x0001_＀＀Ȍ蜫_xD916_㿢噢偊)䥆䭂䥞彃卅䥔䅍䕔䔨卐䴬䅅ⱎ乁ⱎ〲㌱㐬ㄱ㤵착_x0018_＀＀_x0018_＀＀_x0008_＀＀_x0001_＀＀_x0001_＀＀ᑻ䞮竡㿴噢偊(乏幂䍉䕟呓䵉呁⡅偅ⱓ䕍乁䄬乎㈬㄰ⰴㄴ㔱⤹_x0018_＀＀_x0018_＀＀_x0008_＀＀_x0001_＀＀_x0001_＀＀馚香香㿳嘉偉_x0012_䙃幒彐剐䍉⡅ㄴ㔱⤸_x0018_＀＀_x0018_＀＀_x0008_＀＀_x0001_＀＀_x0001_＀＀⣶轜헂䁌䃤偉_x0012_佂幈彐剐䍉⡅〴㤷⤳_x0018_＀＀_x0018_＀＀_x0008_＀＀_x0001_＀＀_x0001_＀＀ꏗ㵰䁃噠偊_x0013_䍔䥂偞偟䥒䕃㐨ㄱ㤵착_x0018_＀＀_x0018_＀＀_x0008_＀＀_x0001_＀＀_x0001_＀＀竡긔腇䁇䃤偉_x0013_䍔幂䝆偟䥒䕃㐨㤰㤰착_x0018_＀＀_x0018_＀＀_x0008_＀＀_x0001_＀＀_x0001_＀＀炤਽ꏗ䀤嘋偉(乆幂䍉䕟呓䵉呁⡅偅ⱓ䕍乁䄬乎㈬㄰ⰲㄴ㔱⤸_x0018_＀＀_x0018_＀＀_x0008_＀＀_x0001_＀＀_x0001_＀＀쫁䖡㿩噞偊)䥆䉔䥞彃卅䥔䅍䕔䔨卐䴬䅅ⱎ乁ⱎ〲㌱㐬ㄱ㤵착_x0018_＀＀_x0018_＀＀_x0008_＀＀_x0001_＀＀_x0001_＀＀갈娜㭤㿹嘊偉_x0013_䍆乂偞偟䥒䕃㐨ㄱ㠵착_x0018_＀＀_x0018_＀＀_x0008_＀＀_x0001_＀＀_x0001_＀＀＀＀＀＀᠀䂀䃤偉_x0012_䉗幓彐剐䍉⡅〴㤷⤳_x0018_＀＀_x0018_＀＀_x0008_＀＀_x0001_＀＀_x0001_＀＀ਾꏗﵰ䀰嘋偉)呓䅂䥞彃卅䥔䅍䕔䔨卐䴬䅅ⱎ乁ⱎ〲㌱㐬ㄱ㠵착_x0018_＀＀_x0018_＀＀_x0008_＀＀_x0001_＀＀_x0001_＀＀쫁䖡㿷䃤偉_x0013_剃䍂偞偟䥒䕃㐨㜰㌹착_x0018_＀＀_x0018_＀＀_x0008_＀＀_x0001_＀＀_x0001_＀＀㵱휊炣䀞噞偊_x0012_䡆幎彐剐䍉⡅〴〹⤹_x0018_＀＀_x0018_＀＀_x0008_＀＀_x0001_＀＀_x0001_＀＀＀＀＀＀＀＀䀠噞偊(䕋幙䍉䕟呓䵉呁⡅偅ⱓ䕍乁䄬乎㈬㄰ⰲㄴ㔱⤹_x0018_＀＀_x0018_＀＀_x0008_＀＀_x0001_＀＀_x0001_＀＀䆉⋐㿫嘉偉_x0013_䵕児偞偟䥒䕃㐨ㄱ㠵착_x0018_＀＀_x0018_＀＀_x0008_＀＀_x0001_＀＀_x0001_＀＀ꏗ㵰휊䀩嘊偉_x0013_乆䝆偞偟䥒䕃㐨ㄱ㠵착_x0018_＀＀_x0018_＀＀_x0008_＀＀_x0001_＀＀_x0001_＀＀尩슏棵䀠嘊偉*䍆䍎幁䍉䕟呓䵉呁⡅偅ⱓ䕍乁䄬乎㈬㄰ⰴㄴ㔱⤸_x0018_＀＀_x0018_＀＀_x0008_＀＀_x0001_＀＀_x0001_＀＀豀碵꼝쐕噢偊)䍕䥂䥞彃卅䥔䅍䕔䔨卐䴬䅅ⱎ乁ⱎ〲㌱㐬ㄱ㤵착_x0018_＀＀_x0018_＀＀_x0008_＀＀_x0001_＀＀_x0001_＀＀إ閁譃㿤嘉偉_x001B_䉍䥆偞䵟呋噟䱁㐨ㄱ㠵Ⱜ唬䑓착_x0018_＀＀_x0018_＀＀_x0008_＀＀_x0001_＀＀_x0001_＀＀沋ﯧ梩䂑嘊偉)坅䍂䥞彃卅䥔䅍䕔䔨卐䴬䅅ⱎ乁ⱎ〲㐱㐬ㄱ㠵착_x0018_＀＀_x0018_＀＀_x0008_＀＀_x0001_＀＀_x0001_＀＀탥_xDB22_绹䀀嘉偉_x001A_乓幖彐䭍彔䅖⡌ㄴ㔱ⰸⰬ单⥄_x0018_＀＀_x0018_＀＀_x0008_＀＀_x0001_＀＀_x0001_＀＀휊炣₽䂝嘉偉'䙒䥞彃卅䥔䅍䕔䔨卐䴬䅅ⱎ乁ⱎ〲㌱㐬ㄱ㠵착_x0018_＀＀_x0018_＀＀_x0008_＀＀_x0001_＀＀_x0001_＀＀꟰䯆褷㿩噡偊)呗䍆䥞彃卅䥔䅍䕔䔨卐䴬䅅ⱎ乁ⱎ〲㌱㐬ㄱ㤵착_x0018_＀＀_x0018_＀＀_x0008_＀＀_x0001_＀＀_x0001_＀＀_xDD2F_ؤ閁䀃䃤偉_x0013_南䍂偞偟䥒䕃㐨㜰㌹착_x0018_＀＀_x0018_＀＀_x0008_＀＀_x0001_＀＀_x0001_＀＀롒蔞釫䀲嘋偉)剔䭍䥞彃卅䥔䅍䕔䔨卐䴬䅅ⱎ乁ⱎ〲㌱㐬ㄱ㠵착_x0018_＀＀_x0018_＀＀_x0008_＀＀_x0001_＀＀_x0001_＀＀ꧻ틱㿽嘋偉)坎䥂䥞彃卅䥔䅍䕔䔨卐䴬䅅ⱎ乁ⱎ〲㌱㐬ㄱ㠵착_x0018_＀＀_x0018_＀＀_x0008_＀＀_x0001_＀＀_x0001_＀＀ᚇ컙号㿧噞偊)䉈乁䥞彃卅䥔䅍䕔䔨卐䴬䅅ⱎ乁ⱎ〲㈱㐬ㄱ㤵착_x0018_＀＀_x0018_＀＀_x0008_＀＀_x0001_＀＀_x0001_＀＀蔟凫Ẹ㿥嘉偉_x0012_䵃幁彐剐䍉⡅ㄴ㔱⤸_x0018_＀＀_x0018_＀＀_x0008_＀＀_x0001_＀＀_x0001_＀＀䞮竡긔䀿噛偊_x0012_奃幎彐剐䍉⡅〴〹⤹_x0018_＀＀_x0018_＀＀_x0008_＀＀_x0001_＀＀_x0001_＀＀ꏗ㵰ᜊ䁆嘊偉)十䍂䥞彃卅䥔䅍䕔䔨卐䴬䅅ⱎ乁ⱎ〲㐱㐬ㄱ㠵착_x0018_＀＀_x0018_＀＀_x0008_＀＀_x0001_＀＀_x0001_＀＀脆䎕沋㿱噛偊_x001A_奃幎彐䭍彔䅖⡌ㄴ㔱ⰹⰬ单⥄_x0018_＀＀_x0018_＀＀_x0008_＀＀_x0001_＀＀_x0001_＀＀㌴㌳瘳䂦噜偊_x0013_剔䭍偞偟䥒䕃㐨ㄱ㤵착_x0018_＀＀_x0018_＀＀_x0008_＀＀_x0001_＀＀_x0001_＀＀晧晦Ꙧ䀸嘊偉)䉍䥆䥞彃卅䥔䅍䕔䔨卐䴬䅅ⱎ乁ⱎ〲㌱㐬ㄱ㠵착_x0018_＀＀_x0018_＀＀_x0008_＀＀_x0001_＀＀_x0001_＀＀褷恁탥㿺䃤偉_x0013_䉉䍏偞偟䥒䕃㐨㜰㌹착_x0018_＀＀_x0018_＀＀_x0008_＀＀_x0001_＀＀_x0001_＀＀炤਽ꏗ䀭嘋偉(䙏幇䍉䕟呓䵉呁⡅偅ⱓ䕍乁䄬乎㈬㄰ⰳㄴ㔱⤸_x0018_＀＀_x0018_＀＀_x0008_＀＀_x0001_＀＀_x0001_＀＀晧晦晦㿺噠偊_x001A_䅗幌彐䭍彔䅖⡌ㄴ㔱ⰹⰬ单⥄_x0018_＀＀_x0018_＀＀_x0008_＀＀_x0001_＀＀_x0001_＀＀ᑺ➮䂉嘊偉_x001B_佈䉍偞䵟呋噟䱁㐨ㄱ㠵Ⱜ唬䑓착_x0018_＀＀_x0018_＀＀_x0008_＀＀_x0001_＀＀_x0001_＀＀蔟凫⊸䂍嘋偉(剐幋䍉䕟呓䵉呁⡅偅ⱓ䕍乁䄬乎㈬㄰ⰲㄴ㔱⤸_x0018_＀＀_x0018_＀＀_x0008_＀＀_x0001_＀＀_x0001_＀＀ᑺ䞮䀖嘋偉)佈䉍䥞彃卅䥔䅍䕔䔨卐䴬䅅ⱎ乁ⱎ〲㈱㐬ㄱ㠵착_x0018_＀＀_x0018_＀＀_x0008_＀＀_x0001_＀＀_x0001_＀＀⃅犰酨䀁噡偊(䉗幓䍉䕟呓䵉呁⡅偅ⱓ䕍乁䄬乎㈬㄰ⰲㄴ㔱⤹_x0018_＀＀_x0018_＀＀_x0008_＀＀_x0001_＀＀_x0001_＀＀茓쫀䖡㿼噟偊_x001B_䅃奔偞䵟呋噟䱁㐨ㄱ㤵Ⱜ唬䑓착_x0018_＀＀_x0018_＀＀_x0008_＀＀_x0001_＀＀_x0001_＀＀鶲꟯烆䂕嘉偉_x0013_䉈䍈偞偟䥒䕃㐨ㄱ㠵착_x0018_＀＀_x0018_＀＀_x0008_＀＀_x0001_＀＀_x0001_＀＀Ẹ롑䀾䃤偉_x0013_䥚乏偞偟䥒䕃㐨㜰㌹착_x0018_＀＀_x0018_＀＀_x0008_＀＀_x0001_＀＀_x0001_＀＀쳍쳌䀰嘉偉(乓幖䍉䕟呓䵉呁⡅偅ⱓ䕍乁䄬乎㈬㄰ⰴㄴ㔱⤸_x0018_＀＀_x0018_＀＀_x0008_＀＀_x0001_＀＀_x0001_＀＀䆉⋐㿋噢偊)䵕児䥞彃卅䥔䅍䕔䔨卐䴬䅅ⱎ乁ⱎ〲㈱㐬ㄱ㤵착_x0018_＀＀_x0018_＀＀_x0008_＀＀_x0001_＀＀_x0001_＀＀磕⛩࠱㿬䃢偉_x0014_䉐呃䙞彇剐䍉⡅ㄴ㔱⤸_x0018_＀＀_x0018_＀＀_x0008_＀＀_x0001_＀＀_x0001_＀＀롒蔞凫䀨噡偊_x0013_婏䭒偞偟䥒䕃㐨㤰㤰착_x0018_＀＀_x0018_＀＀_x0008_＀＀_x0001_＀＀_x0001_＀＀竡긔ꅇ䀽嘋偉)䵆䥂䥞彃卅䥔䅍䕔䔨卐䴬䅅ⱎ乁ⱎ〲㈱㐬ㄱ㠵착_x0018_＀＀_x0018_＀＀_x0008_＀＀_x0001_＀＀_x0001_＀＀쳍쳌쳌㿜嘋偉(䍆幆䍉䕟呓䵉呁⡅偅ⱓ䕍乁䄬乎㈬㄰ⰳㄴ㔱⤸_x0018_＀＀_x0018_＀＀_x0008_＀＀_x0001_＀＀_x0001_＀＀ㄦ갈㿠噡偊)啓兓䥞彃卅䥔䅍䕔䔨卐䴬䅅ⱎ乁ⱎ〲㈱㐬ㄱ㤵착_x0018_＀＀_x0018_＀＀_x0008_＀＀_x0001_＀＀_x0001_＀＀⛪࠱Წ㿪噡偊_x001B_呓䅂偞䵟呋噟䱁㐨ㄱ㤵Ⱜ唬䑓착_x0018_＀＀_x0018_＀＀_x0008_＀＀_x0001_＀＀_x0001_＀＀節浜ᣅ䂀噞偊(呓幉䍉䕟呓䵉呁⡅偅ⱓ䕍乁䄬乎㈬㄰ⰳㄴ㔱⤹_x0018_＀＀_x0018_＀＀_x0008_＀＀_x0001_＀＀_x0001_＀＀퓽䀄嘉偉_x0013_䅃奔偞偟䥒䕃㐨ㄱ㠵착_x0018_＀＀_x0018_＀＀_x0008_＀＀_x0001_＀＀_x0001_＀＀휊炣⨽䀱嘉偉_x0012_千幅彐剐䍉⡅ㄴ㔱⤸_x0018_＀＀_x0018_＀＀_x0008_＀＀_x0001_＀＀_x0001_＀＀晧晦晦䀜嘉偉_x0012_䭂幕彐剐䍉⡅ㄴ㔱⤸_x0018_＀＀_x0018_＀＀_x0008_＀＀_x0001_＀＀_x0001_＀＀⣶轜뗂䀸噢偊)乐偆䥞彃卅䥔䅍䕔䔨卐䴬䅅ⱎ乁ⱎ〲㈱㐬ㄱ㤵착_x0018_＀＀_x0018_＀＀_x0008_＀＀_x0001_＀＀_x0001_＀＀司ꗣ쒛㿰噢偊)䉕䥓䥞彃卅䥔䅍䕔䔨卐䴬䅅ⱎ乁ⱎ〲㌱㐬ㄱ㤵착_x0018_＀＀_x0018_＀＀_x0008_＀＀_x0001_＀＀_x0001_＀＀⋐率㿼嘊偉)䉃䡓䥞彃卅䥔䅍䕔䔨卐䴬䅅ⱎ乁ⱎ〲㈱㐬ㄱ㠵착_x0018_＀＀_x0018_＀＀_x0008_＀＀_x0001_＀＀_x0001_＀＀沋ﯧ䀈噢偊)䉐呃䥞彃卅䥔䅍䕔䔨卐䴬䅅ⱎ乁ⱎ〲㐱㐬ㄱ㤵착_x0018_＀＀_x0018_＀＀_x0008_＀＀_x0001_＀＀_x0001_＀＀ၢ㥘좴㿮噢偊)䍔䥂䥞彃卅䥔䅍䕔䔨卐䴬䅅ⱎ乁ⱎ〲㌱㐬ㄱ㤵착_x0018_＀＀_x0018_＀＀_x0008_＀＀_x0001_＀＀_x0001_＀＀뙆ﷳ磔䀉噟偊_x0011_䙁偞偟䥒䕃㐨㤰㤰착_x0018_＀＀_x0018_＀＀_x0008_＀＀_x0001_＀＀_x0001_＀＀ᑻ䞮﫡䀠嘋偉)䉇䥃䥞彃卅䥔䅍䕔䔨卐䴬䅅ⱎ乁ⱎ〲㐱㐬ㄱ㠵착_x0018_＀＀_x0018_＀＀_x0008_＀＀_x0001_＀＀_x0001_＀＀晧晦晦㿴噠偊_x0012_䉃幕彐剐䍉⡅ㄴ㔱⤹_x0018_＀＀_x0018_＀＀_x0008_＀＀_x0001_＀＀_x0001_＀＀ਾꏗﵰ䀼䃤偉_x0012_奎幂彐剐䍉⡅〴㤷⤳_x0018_＀＀_x0018_＀＀_x0008_＀＀_x0001_＀＀_x0001_＀＀긕鑺䀨噢偊(䅗幌䍉䕟呓䵉呁⡅偅ⱓ䕍乁䄬乎㈬㄰ⰲㄴ㔱⤹_x0018_＀＀_x0018_＀＀_x0008_＀＀_x0001_＀＀_x0001_＀＀Ȍ蜫_xD916_㿢嘉偉_x001B_䵆剅偞䵟呋噟䱁㐨ㄱ㠵Ⱜ唬䑓착_x0018_＀＀_x0018_＀＀_x0008_＀＀_x0001_＀＀_x0001_＀＀눭蘧䂜噝偊_x0012_䉂幔彐剐䍉⡅〴〹⤹_x0018_＀＀_x0018_＀＀_x0008_＀＀_x0001_＀＀_x0001_＀＀凬Ẹ⮅䀹嘋偉)䉎䉔䥞彃卅䥔䅍䕔䔨卐䴬䅅ⱎ乁ⱎ〲㌱㐬ㄱ㠵착_x0018_＀＀_x0018_＀＀_x0008_＀＀_x0001_＀＀_x0001_＀＀ਾꏗ㵰㿺噠偊_x0013_䙆䍂偞偟䥒䕃㐨㤰㤰착_x0018_＀＀_x0018_＀＀_x0008_＀＀_x0001_＀＀_x0001_＀＀炤਽ꏗ䀰噛偊_x0012_䙃幒彐剐䍉⡅ㄴ㔱⤹_x0018_＀＀_x0018_＀＀_x0008_＀＀_x0001_＀＀_x0001_＀＀晧晦䁌䃤偉_x0013_啓兓偞偟䥒䕃㐨㜰㌹착_x0018_＀＀_x0018_＀＀_x0008_＀＀_x0001_＀＀_x0001_＀＀긕ᑺ䀚嘊偉_x0012_剄幌彐剐䍉⡅〴〹⤹_x0018_＀＀_x0018_＀＀_x0008_＀＀_x0001_＀＀_x0001_＀＀㭥俟鞍㿮嘊偉_x0012_䙏幇彐剐䍉⡅ㄴ㔱⤸_x0018_＀＀_x0018_＀＀_x0008_＀＀_x0001_＀＀_x0001_＀＀馚香香䀥嘉偉_x0013_偎䍂偞偟䥒䕃㐨ㄱ㠵착_x0018_＀＀_x0018_＀＀_x0008_＀＀_x0001_＀＀_x0001_＀＀䞮竡긔䀢嘉偉_x0014_䍆䍎幁彐剐䍉⡅〴〹⤹_x0018_＀＀_x0018_＀＀_x0008_＀＀_x0001_＀＀_x0001_＀＀ᑺ_xDFAE_䁥嘉偉_x0013_噐䉔偞偟䥒䕃㐨ㄱ㠵착_x0018_＀＀_x0018_＀＀_x0008_＀＀_x0001_＀＀_x0001_＀＀㌳㌳댳䀰噢偊)呓䅂䥞彃卅䥔䅍䕔䔨卐䴬䅅ⱎ乁ⱎ〲㌱㐬ㄱ㤵착_x0018_＀＀_x0018_＀＀_x0008_＀＀_x0001_＀＀_x0001_＀＀쫁䖡㿷嘉偉)䵈呓䥞彃卅䥔䅍䕔䔨卐䴬䅅ⱎ乁ⱎ〲㈱㐬ㄱ㠵착_x0018_＀＀_x0018_＀＀_x0008_＀＀_x0001_＀＀_x0001_＀＀＀＀＀＀耀䀣嘉偉_x0013_䥆䉔偞偟䥒䕃㐨ㄱ㠵착_x0018_＀＀_x0018_＀＀_x0008_＀＀_x0001_＀＀_x0001_＀＀轜ᰨ䀮噠偊_x0013_䵆䥂偞偟䥒䕃㐨㤰㤰착_x0018_＀＀_x0018_＀＀_x0008_＀＀_x0001_＀＀_x0001_＀＀尨䊏䀤嘋偉)䙃乆䥞彃卅䥔䅍䕔䔨卐䴬䅅ⱎ乁ⱎ〲㌱㐬ㄱ㠵착_x0018_＀＀_x0018_＀＀_x0008_＀＀_x0001_＀＀_x0001_＀＀퓽㿞噟偊_x0013_䵕児偞偟䥒䕃㐨ㄱ㤵착_x0018_＀＀_x0018_＀＀_x0008_＀＀_x0001_＀＀_x0001_＀＀＀＀＀＀＀＀䀪嘊偉'䉐䥞彃卅䥔䅍䕔䔨卐䴬䅅ⱎ乁ⱎ〲㌱㐬ㄱ㠵착_x0018_＀＀_x0018_＀＀_x0008_＀＀_x0001_＀＀_x0001_＀＀눭욧䀊噡偊_x0013_乆䝆偞偟䥒䕃㐨ㄱ㤵착_x0018_＀＀_x0018_＀＀_x0008_＀＀_x0001_＀＀_x0001_＀＀ꏗ㵰圊䀠噠偊_x001A_剐幋彐䭍彔䅖⡌ㄴ㔱ⰹⰬ单⥄_x0018_＀＀_x0018_＀＀_x0008_＀＀_x0001_＀＀_x0001_＀＀閁譃졬䂐䃤偉_x0013_呓幉䝆偟䥒䕃㐨㤰㤰착_x0018_＀＀_x0018_＀＀_x0008_＀＀_x0001_＀＀_x0001_＀＀㌳㌳댳䀱噡偊)坅䍂䥞彃卅䥔䅍䕔䔨卐䴬䅅ⱎ乁ⱎ〲㐱㐬ㄱ㤵착_x0018_＀＀_x0018_＀＀_x0008_＀＀_x0001_＀＀_x0001_＀＀炤਽ꏗ䀀嘊偉_x0012_䱖幙彐剐䍉⡅ㄴ㔱⤸_x0018_＀＀_x0018_＀＀_x0008_＀＀_x0001_＀＀_x0001_＀＀ਾꏗ㵰䀤嘊偉)䉓奎䥞彃卅䥔䅍䕔䔨卐䴬䅅ⱎ乁ⱎ〲㈱㐬ㄱ㠵착_x0018_＀＀_x0018_＀＀_x0008_＀＀_x0001_＀＀_x0001_＀＀尩슏⣵䀎噞偊'䙒䥞彃卅䥔䅍䕔䔨卐䴬䅅ⱎ乁ⱎ〲㌱㐬ㄱ㤵착_x0018_＀＀_x0018_＀＀_x0008_＀＀_x0001_＀＀_x0001_＀＀꟰䯆褷㿩噢偊)坎䥂䥞彃卅䥔䅍䕔䔨卐䴬䅅ⱎ乁ⱎ〲㌱㐬ㄱ㤵착_x0018_＀＀_x0018_＀＀_x0008_＀＀_x0001_＀＀_x0001_＀＀ᚇ컙号㿧噢偊)剔䭍䥞彃卅䥔䅍䕔䔨卐䴬䅅ⱎ乁ⱎ〲㌱㐬ㄱ㤵착_x0018_＀＀_x0018_＀＀_x0008_＀＀_x0001_＀＀_x0001_＀＀ꧻ틱㿽䃤偉_x0012_乆幂彐剐䍉⡅〴㤷⤳_x0018_＀＀_x0018_＀＀_x0008_＀＀_x0001_＀＀_x0001_＀＀ᑺ잮䀡嘊偉_x0013_佈䉍偞偟䥒䕃㐨ㄱ㠵착_x0018_＀＀_x0018_＀＀_x0008_＀＀_x0001_＀＀_x0001_＀＀Ẹ顑䁀嘊偉)䥓䉖䥞彃卅䥔䅍䕔䔨卐䴬䅅ⱎ乁ⱎ〲㌱㐬ㄱ㠵착_x0018_＀＀_x0018_＀＀_x0008_＀＀_x0001_＀＀_x0001_＀＀됺盈龾䀍嘋偉(乏幂䍉䕟呓䵉呁⡅偅ⱓ䕍乁䄬乎㈬㄰ⰲㄴ㔱⤸_x0018_＀＀_x0018_＀＀_x0008_＀＀_x0001_＀＀_x0001_＀＀＀＀＀＀＀＀㿰噝偊_x0012_䵃幁彐剐䍉⡅ㄴ㔱⤹_x0018_＀＀_x0018_＀＀_x0008_＀＀_x0001_＀＀_x0001_＀＀ਾꏗᵰ䁀嘊偉_x0013_䍐䍂偞偟䥒䕃㐨ㄱ㠵착_x0018_＀＀_x0018_＀＀_x0008_＀＀_x0001_＀＀_x0001_＀＀Ẹ䁆噡偊)十䍂䥞彃卅䥔䅍䕔䔨卐䴬䅅ⱎ乁ⱎ〲㐱㐬ㄱ㤵착_x0018_＀＀_x0018_＀＀_x0008_＀＀_x0001_＀＀_x0001_＀＀脆䎕沋㿱嘉偉_x0013_䵕䙂偞偟䥒䕃㐨ㄱ㠵착_x0018_＀＀_x0018_＀＀_x0008_＀＀_x0001_＀＀_x0001_＀＀炤਽䁈嘉偉_x0013_坅䍂偞偟䥒䕃㐨ㄱ㠵착_x0018_＀＀_x0018_＀＀_x0008_＀＀_x0001_＀＀_x0001_＀＀晧晦♦䀶嘋偉)䅐坃䥞彃卅䥔䅍䕔䔨卐䴬䅅ⱎ乁ⱎ〲㐱㐬ㄱ㠵착_x0018_＀＀_x0018_＀＀_x0008_＀＀_x0001_＀＀_x0001_＀＀俟鞍ቮ䀀嘋偉)䅗䍂䥞彃卅䥔䅍䕔䔨卐䴬䅅ⱎ乁ⱎ〲㈱㐬ㄱ㠵착_x0018_＀＀_x0018_＀＀_x0008_＀＀_x0001_＀＀_x0001_＀＀犰酨糭䀈噢偊)䉍䥆䥞彃卅䥔䅍䕔䔨卐䴬䅅ⱎ乁ⱎ〲㌱㐬ㄱ㤵착_x0018_＀＀_x0018_＀＀_x0008_＀＀_x0001_＀＀_x0001_＀＀褷恁탥㿺嘋偉)偎䍂䥞彃卅䥔䅍䕔䔨卐䴬䅅ⱎ乁ⱎ〲㐱㐬ㄱ㠵착_x0018_＀＀_x0018_＀＀_x0008_＀＀_x0001_＀＀_x0001_＀＀蔟凫Ẹ㿥嘉偉_x0013_䉍䥆偞偟䥒䕃㐨ㄱ㠵착_x0018_＀＀_x0018_＀＀_x0008_＀＀_x0001_＀＀_x0001_＀＀晧晦晦䀴噢偊)佈䉍䥞彃卅䥔䅍䕔䔨卐䴬䅅ⱎ乁ⱎ〲㈱㐬ㄱ㤵착_x0018_＀＀_x0018_＀＀_x0008_＀＀_x0001_＀＀_x0001_＀＀⃅犰酨䀁噢偊(剐幋䍉䕟呓䵉呁⡅偅ⱓ䕍乁䄬乎㈬㄰ⰲㄴ㔱⤹_x0018_＀＀_x0018_＀＀_x0008_＀＀_x0001_＀＀_x0001_＀＀ᑺ䞮䀖噟偊_x0013_䉈䍈偞偟䥒䕃㐨ㄱ㤵착_x0018_＀＀_x0018_＀＀_x0008_＀＀_x0001_＀＀_x0001_＀＀ᑻ䞮﫡䀾嘉偉_x001B_商呌偞䵟呋噟䱁㐨ㄱ㠵Ⱜ唬䑓착_x0018_＀＀_x0018_＀＀_x0008_＀＀_x0001_＀＀_x0001_＀＀脆䎕䞋䂟嘊偉)䅃奔䥞彃卅䥔䅍䕔䔨卐䴬䅅ⱎ乁ⱎ〲㐱㐬ㄱ㠵착_x0018_＀＀_x0018_＀＀_x0008_＀＀_x0001_＀＀_x0001_＀＀컙号ꗣ㿹噞偊(乓幖䍉䕟呓䵉呁⡅偅ⱓ䕍乁䄬乎㈬㄰ⰴㄴ㔱⤹_x0018_＀＀_x0018_＀＀_x0008_＀＀_x0001_＀＀_x0001_＀＀䆉⋐㿋嘊偉_x001B_䉐呃偞䵟呋噟䱁㐨ㄱ㠵Ⱜ唬䑓착_x0018_＀＀_x0018_＀＀_x0008_＀＀_x0001_＀＀_x0001_＀＀赐溗꽒䂰嘉偉_x0013_䵆剅偞偟䥒䕃㐨ㄱ㠵착_x0018_＀＀_x0018_＀＀_x0008_＀＀_x0001_＀＀_x0001_＀＀晦晦Ꙧ䀰嘋偉)南䍂䥞彃卅䥔䅍䕔䔨卐䴬䅅ⱎ乁ⱎ〲㐱㐬ㄱ㠵착_x0018_＀＀_x0018_＀＀_x0008_＀＀_x0001_＀＀_x0001_＀＀뀡桲㿾嘊偉_x001B_䍔䥂偞䵟呋噟䱁㐨ㄱ㠵Ⱜ唬䑓착_x0018_＀＀_x0018_＀＀_x0008_＀＀_x0001_＀＀_x0001_＀＀褷恁该䂝嘋偉)䍆乂䥞彃卅䥔䅍䕔䔨卐䴬䅅ⱎ乁ⱎ〲㌱㐬ㄱ㠵착_x0014_＀＀_x0018_＀＀_x0004_＀＀_x0001_＀＀_x0003_＀＀＀＀耀噢偊)䵆䥂䥞彃卅䥔䅍䕔䔨卐䴬䅅ⱎ乁ⱎ〲㈱㐬ㄱ㤵착_x0018_＀＀_x0018_＀＀_x0008_＀＀_x0001_＀＀_x0001_＀＀쳍쳌쳌㿜嘉偉_x001A_乏幂彐䭍彔䅖⡌ㄴ㔱ⰸⰬ单⥄_x0018_＀＀_x0018_＀＀_x0008_＀＀_x0001_＀＀_x0001_＀＀褷恁ᝥ䂔嘊偉(塂幓䍉䕟呓䵉呁⡅偅ⱓ䕍乁䄬乎㈬㄰ⰳㄴ㔱⤸_x0018_＀＀_x0018_＀＀_x0008_＀＀_x0001_＀＀_x0001_＀＀ⴏ鶲꟯㿮噟偊_x0013_䅃奔偞偟䥒䕃㐨ㄱ㤵착_x0018_＀＀_x0018_＀＀_x0008_＀＀_x0001_＀＀_x0001_＀＀䞮竡渔䀱噠偊_x0012_千幅彐剐䍉⡅ㄴ㔱⤹_x0018_＀＀_x0018_＀＀_x0008_＀＀_x0001_＀＀_x0001_＀＀䞮竡긔䀜噞偊_x001B_坅䍂偞䵟呋噟䱁㐨ㄱ㤵Ⱜ唬䑓착_x0018_＀＀_x0018_＀＀_x0008_＀＀_x0001_＀＀_x0001_＀＀鮦⃄터䂨噝偊_x0012_䭂幕彐剐䍉⡅ㄴ㔱⤹_x0018_＀＀_x0018_＀＀_x0008_＀＀_x0001_＀＀_x0001_＀＀㌳㌳猳䀸嘉偉_x001B_啓兓偞䵟呋噟䱁㐨ㄱ㠵Ⱜ唬䑓착_x0018_＀＀_x0018_＀＀_x0008_＀＀_x0001_＀＀_x0001_＀＀㕀멞燉䂟䃤偉_x0012_剆幃彐剐䍉⡅〴㤷⤳_x0018_＀＀_x0018_＀＀_x0008_＀＀_x0001_＀＀_x0001_＀＀휊炣਽䀹䃤偉_x0013_䉓奎偞偟䥒䕃㐨㜰㌹착_x0018_＀＀_x0018_＀＀_x0008_＀＀_x0001_＀＀_x0001_＀＀尩슏ࣵ䁌噟偊_x001A_䍔幂彐䭍彔䅖⡌ㄴ㔱ⰹⰬ单⥄_x0018_＀＀_x0018_＀＀_x0008_＀＀_x0001_＀＀_x0001_＀＀尩슏ድ䂝噝偊)䉃䡓䥞彃卅䥔䅍䕔䔨卐䴬䅅ⱎ乁ⱎ〲㈱㐬ㄱ㤵착_x0018_＀＀_x0018_＀＀_x0008_＀＀_x0001_＀＀_x0001_＀＀沋ﯧ䀈嘉偉_x001A_䕋幙彐䭍彔䅖⡌ㄴ㔱ⰸⰬ单⥄_x0018_＀＀_x0018_＀＀_x0008_＀＀_x0001_＀＀_x0001_＀＀⋑率峞䂿噢偊)䉇䥃䥞彃卅䥔䅍䕔䔨卐䴬䅅ⱎ乁ⱎ〲㐱㐬ㄱ㤵착_x0018_＀＀_x0018_＀＀_x0008_＀＀_x0001_＀＀_x0001_＀＀晧晦晦㿴嘊偉_x001A_䉃幕彐䭍彔䅖⡌ㄴ㔱ⰸⰬ单⥄_x0018_＀＀_x0018_＀＀_x0008_＀＀_x0001_＀＀_x0001_＀＀凬Ẹ쎅䂑噠偊_x001B_䉇䥃偞䵟呋噟䱁㐨ㄱ㤵Ⱜ唬䑓착_x0018_＀＀_x0018_＀＀_x0008_＀＀_x0001_＀＀_x0001_＀＀긕쓺䂑嘊偉_x001B_䍓呂偞䵟呋噟䱁㐨ㄱ㠵Ⱜ唬䑓착_x0018_＀＀_x0018_＀＀_x0008_＀＀_x0001_＀＀_x0001_＀＀䔹片㵹䂃噟偊_x0013_偎䍂偞偟䥒䕃㐨ㄱ㤵착_x0018_＀＀_x0018_＀＀_x0008_＀＀_x0001_＀＀_x0001_＀＀尩슏ꣵ䀢嘋偉)乆䝆䥞彃卅䥔䅍䕔䔨卐䴬䅅ⱎ乁ⱎ〲㌱㐬ㄱ㠵착_x0018_＀＀_x0018_＀＀_x0008_＀＀_x0001_＀＀_x0001_＀＀ᑺ䞮㿩䃤偉_x0013_䍕䥂偞偟䥒䕃㐨㜰㌹착_x0018_＀＀_x0018_＀＀_x0008_＀＀_x0001_＀＀_x0001_＀＀슏⣵轜䀤䃤偉_x0013_䡆幎䝆偟䥒䕃㐨㤰㤰착_x0018_＀＀_x0018_＀＀_x0008_＀＀_x0001_＀＀_x0001_＀＀＀＀＀＀＀＀䀠噝偊_x0011_䙒偞偟䥒䕃㐨㤰㤰착_x0018_＀＀_x0018_＀＀_x0008_＀＀_x0001_＀＀_x0001_＀＀㌳㌳㌳䀑嘊偉(䉆幐䍉䕟呓䵉呁⡅偅ⱓ䕍乁䄬乎㈬㄰ⰳㄴ㔱⤸_x0018_＀＀_x0018_＀＀_x0008_＀＀_x0001_＀＀_x0001_＀＀馚香香㿑噟偊_x0013_噐䉔偞偟䥒䕃㐨ㄱ㤵착_x0018_＀＀_x0018_＀＀_x0008_＀＀_x0001_＀＀_x0001_＀＀롑Ԟ䀱䃤偉_x0013_䉃䡓偞偟䥒䕃㐨㜰㌹착_x0018_＀＀_x0018_＀＀_x0008_＀＀_x0001_＀＀_x0001_＀＀䕣꘍ᡡ䁂噟偊_x0012_乏幂彐剐䍉⡅〴〹⤹_x0018_＀＀_x0018_＀＀_x0008_＀＀_x0001_＀＀_x0001_＀＀쳍쳌䳌䀧噟偊_x001B_䵕䙂偞䵟呋噟䱁㐨ㄱ㤵Ⱜ唬䑓착_x0018_＀＀_x0018_＀＀_x0008_＀＀_x0001_＀＀_x0001_＀＀ొ⬂蒇䂟噝偊)䵈呓䥞彃卅䥔䅍䕔䔨卐䴬䅅ⱎ乁ⱎ〲㈱㐬ㄱ㤵착_x0018_＀＀_x0018_＀＀_x0008_＀＀_x0001_＀＀_x0001_＀＀＀＀＀＀耀䀣嘉偉_x001A_䉆幐彐䭍彔䅖⡌ㄴ㔱ⰸⰬ单⥄_x0018_＀＀_x0018_＀＀_x0008_＀＀_x0001_＀＀_x0001_＀＀뢻ڍ異䂋嘉偉_x0013_䥆乎偞偟䥒䕃㐨ㄱ㠵착_x0018_＀＀_x0018_＀＀_x0008_＀＀_x0001_＀＀_x0001_＀＀＀＀＀＀門䂰噟偊_x001B_呗䍆偞䵟呋噟䱁㐨ㄱ㤵Ⱜ唬䑓착_x0018_＀＀_x0018_＀＀_x0008_＀＀_x0001_＀＀_x0001_＀＀ᢔ嘄瀎䂕噝偊_x0013_䥆䉔偞偟䥒䕃㐨ㄱ㤵착_x0018_＀＀_x0018_＀＀_x0008_＀＀_x0001_＀＀_x0001_＀＀蔟凫麸䀮嘉偉_x0013_䙃乆偞偟䥒䕃㐨㤰㤰착_x0018_＀＀_x0018_＀＀_x0008_＀＀_x0001_＀＀_x0001_＀＀긕ᑺ䀧噢偊'䉐䥞彃卅䥔䅍䕔䔨卐䴬䅅ⱎ乁ⱎ〲㌱㐬ㄱ㤵착_x0018_＀＀_x0018_＀＀_x0008_＀＀_x0001_＀＀_x0001_＀＀눭욧䀊嘊偉_x0013_坎䥂偞偟䥒䕃㐨ㄱ㠵착_x0018_＀＀_x0018_＀＀_x0008_＀＀_x0001_＀＀_x0001_＀＀ᑺ잮䀨嘊偉_x0013_乐偆偞偟䥒䕃㐨ㄱ㠵착_x0018_＀＀_x0018_＀＀_x0008_＀＀_x0001_＀＀_x0001_＀＀尨슏䀳嘊偉)噐䉔䥞彃卅䥔䅍䕔䔨卐䴬䅅ⱎ乁ⱎ〲㐱㐬ㄱ㠵착_x0018_＀＀_x0018_＀＀_x0008_＀＀_x0001_＀＀_x0001_＀＀ꇋ뙅ﷳ㿴嘋偉)䉐呃䥞彃卅䥔䅍䕔䔨卐䴬䅅ⱎ乁ⱎ〲㈱㐬ㄱ㠵착_x0018_＀＀_x0018_＀＀_x0008_＀＀_x0001_＀＀_x0001_＀＀컙号ꗣ㿧嘉偉(呍幂䍉䕟呓䵉呁⡅偅ⱓ䕍乁䄬乎㈬㄰ⰳㄴ㔱⤸_x0018_＀＀_x0018_＀＀_x0008_＀＀_x0001_＀＀_x0001_＀＀ꏗ㵰휊䀞噡偊)䉓奎䥞彃卅䥔䅍䕔䔨卐䴬䅅ⱎ乁ⱎ〲㈱㐬ㄱ㤵착_x0018_＀＀_x0018_＀＀_x0008_＀＀_x0001_＀＀_x0001_＀＀尩슏⣵䀎噛偊_x0012_䱖幙彐剐䍉⡅ㄴ㔱⤹_x0018_＀＀_x0018_＀＀_x0008_＀＀_x0001_＀＀_x0001_＀＀ᑻ䞮竡䀤嘋偉)䙂䙃䥞彃卅䥔䅍䕔䔨卐䴬䅅ⱎ乁ⱎ〲㌱㐬ㄱ㠵착_x0018_＀＀_x0018_＀＀_x0008_＀＀_x0001_＀＀_x0001_＀＀豀碵꼝쐕䃤偉_x0012_䡆幎彐剐䍉⡅〴㤷⤳_x0018_＀＀_x0018_＀＀_x0008_＀＀_x0001_＀＀_x0001_＀＀凬Ẹ䀚噢偊(乏幂䍉䕟呓䵉呁⡅偅ⱓ䕍乁䄬乎㈬㄰ⰲㄴ㔱⤹_x0018_＀＀_x0018_＀＀_x0008_＀＀_x0001_＀＀_x0001_＀＀＀＀＀＀＀＀㿰噡偊)䥓䉖䥞彃卅䥔䅍䕔䔨卐䴬䅅ⱎ乁ⱎ〲㌱㐬ㄱ㤵착_x0018_＀＀_x0018_＀＀_x0008_＀＀_x0001_＀＀_x0001_＀＀됺盈龾䀍噡偊_x0013_佈䉍偞偟䥒䕃㐨ㄱ㤵착_x0018_＀＀_x0018_＀＀_x0008_＀＀_x0001_＀＀_x0001_＀＀⣶轜뗂䁀噝偊_x001A_䵃幁彐䭍彔䅖⡌ㄴ㔱ⰹⰬ单⥄_x0018_＀＀_x0018_＀＀_x0008_＀＀_x0001_＀＀_x0001_＀＀㝌䆉屠䂸嘉偉_x001B_䉉䍋偞䵟呋噟䱁㐨ㄱ㠵Ⱜ唬䑓착_x0018_＀＀_x0018_＀＀_x0008_＀＀_x0001_＀＀_x0001_＀＀䷒⁢䂖嘊偉(䱖幙䍉䕟呓䵉呁⡅偅ⱓ䕍乁䄬乎㈬㄰ⰳㄴ㔱⤸_x0018_＀＀_x0018_＀＀_x0008_＀＀_x0001_＀＀_x0001_＀＀鞍ቮ삃㿦噠偊_x001B_䵆䥂偞䵟呋噟䱁㐨ㄱ㤵Ⱜ唬䑓착_x0018_＀＀_x0018_＀＀_x0008_＀＀_x0001_＀＀_x0001_＀＀橿璼꼓䂍噟偊_x0013_䵕䙂偞偟䥒䕃㐨ㄱ㤵착_x0018_＀＀_x0018_＀＀_x0008_＀＀_x0001_＀＀_x0001_＀＀ᑻ䞮_xDAE1_䁈噞偊_x0013_坅䍂偞偟䥒䕃㐨ㄱ㤵착_x0018_＀＀_x0018_＀＀_x0008_＀＀_x0001_＀＀_x0001_＀＀竡긔慇䀶嘊偉_x0013_偂䡆偞偟䥒䕃㐨ㄱ㠵착_x0018_＀＀_x0018_＀＀_x0008_＀＀_x0001_＀＀_x0001_＀＀馚香香䀣噢偊)偎䍂䥞彃卅䥔䅍䕔䔨卐䴬䅅ⱎ乁ⱎ〲㐱㐬ㄱ㤵착_x0018_＀＀_x0018_＀＀_x0008_＀＀_x0001_＀＀_x0001_＀＀蔟凫Ẹ㿥嘊偉)䉈䍈䥞彃卅䥔䅍䕔䔨卐䴬䅅ⱎ乁ⱎ〲㌱㐬ㄱ㠵착_x0018_＀＀_x0018_＀＀_x0008_＀＀_x0001_＀＀_x0001_＀＀鍵И๖䀅噟偊_x0013_䉍䥆偞偟䥒䕃㐨ㄱ㤵착_x0018_＀＀_x0018_＀＀_x0008_＀＀_x0001_＀＀_x0001_＀＀晧晦Ꙧ䀴噟偊_x001A_塂幓彐䭍彔䅖⡌ㄴ㔱ⰹⰬ单⥄_x0018_＀＀_x0018_＀＀_x0008_＀＀_x0001_＀＀_x0001_＀＀뱫鍴肘䂖嘋偉)剃䍂䥞彃卅䥔䅍䕔䔨卐䴬䅅ⱎ乁ⱎ〲㐱㐬ㄱ㠵착_x0018_＀＀_x0018_＀＀_x0008_＀＀_x0001_＀＀_x0001_＀＀＀＀＀＀＀＀㿼䃤偉_x0012_奃幎彐剐䍉⡅〴㤷⤳_x0018_＀＀_x0018_＀＀_x0008_＀＀_x0001_＀＀_x0001_＀＀휊炣䁅嘊偉*䍆䍎幁䍉䕟呓䵉呁⡅偅ⱓ䕍乁䄬乎㈬㄰ⰲㄴ㔱⤸_x0018_＀＀_x0018_＀＀_x0008_＀＀_x0001_＀＀_x0001_＀＀豀碵꼝쐕噢偊)䅃奔䥞彃卅䥔䅍䕔䔨卐䴬䅅ⱎ乁ⱎ〲㐱㐬ㄱ㤵착_x0018_＀＀_x0018_＀＀_x0008_＀＀_x0001_＀＀_x0001_＀＀컙号ꗣ㿹噠偊_x001B_坎䥂偞䵟呋噟䱁㐨ㄱ㤵Ⱜ唬䑓착_x0018_＀＀_x0018_＀＀_x0008_＀＀_x0001_＀＀_x0001_＀＀䖢ꅽ䂒噟偊_x0013_䵆剅偞偟䥒䕃㐨ㄱ㤵착_x0018_＀＀_x0018_＀＀_x0008_＀＀_x0001_＀＀_x0001_＀＀롑Ԟ䀱噠偊_x0013_䥆䭂偞偟䥒䕃㐨㤰㤰착_x0018_＀＀_x0018_＀＀_x0008_＀＀_x0001_＀＀_x0001_＀＀슐⣵ཛྷ䀪嘊偉_x0013_呓䅂偞偟䥒䕃㐨ㄱ㠵착_x0018_＀＀_x0018_＀＀_x0008_＀＀_x0001_＀＀_x0001_＀＀轜鰨䀱嘊偉)坅䍂䥞彃卅䥔䅍䕔䔨卐䴬䅅ⱎ乁ⱎ〲㈱㐬ㄱ㠵착_x0018_＀＀_x0018_＀＀_x0008_＀＀_x0001_＀＀_x0001_＀＀Წ摚_xDF3B_㿽噡偊(塂幓䍉䕟呓䵉呁⡅偅ⱓ䕍乁䄬乎㈬㄰ⰳㄴ㔱⤹_x0018_＀＀_x0018_＀＀_x0008_＀＀_x0001_＀＀_x0001_＀＀ⴏ鶲꟯㿮嘉偉_x0019_䙁偞䵟呋噟䱁㐨ㄱ㠵Ⱜ唬䑓착_x0018_＀＀_x0018_＀＀_x0008_＀＀_x0001_＀＀_x0001_＀＀좴빶ȟ䂐噝偊_x0019_䙒偞䵟呋噟䱁㐨ㄱ㤵Ⱜ唬䑓착_x0018_＀＀_x0018_＀＀_x0008_＀＀_x0001_＀＀_x0001_＀＀脆䎕堫䃄嘊偉)十䍂䥞彃卅䥔䅍䕔䔨卐䴬䅅ⱎ乁ⱎ〲㈱㐬ㄱ㠵착_x0018_＀＀_x0018_＀＀_x0008_＀＀_x0001_＀＀_x0001_＀＀좴빶᪟㿯噠偊_x0013_䍔䥂偞偟䥒䕃㐨㤰㤰착_x0018_＀＀_x0018_＀＀_x0008_＀＀_x0001_＀＀_x0001_＀＀轜鰨䀾嘊偉_x0013_䅂䙎偞偟䥒䕃㐨㤰㤰착_x0018_＀＀_x0018_＀＀_x0008_＀＀_x0001_＀＀_x0001_＀＀롑씞䁂嘊偉)䉉䍋䥞彃卅䥔䅍䕔䔨卐䴬䅅ⱎ乁ⱎ〲㐱㐬ㄱ㠵착_x0018_＀＀_x0018_＀＀_x0008_＀＀_x0001_＀＀_x0001_＀＀쳍쳌쳌䀊嘋偉)䙆䍂䥞彃卅䥔䅍䕔䔨卐䴬䅅ⱎ乁ⱎ〲㌱㐬ㄱ㠵착_x0018_＀＀_x0018_＀＀_x0008_＀＀_x0001_＀＀_x0001_＀＀嘄ⴎ鶲㿳噟偊_x001B_䥓䉖偞䵟呋噟䱁㐨ㄱ㤵Ⱜ唬䑓착_x0018_＀＀_x0018_＀＀_x0008_＀＀_x0001_＀＀_x0001_＀＀쳍쳌⏌䂥嘉偉_x0012_呍幂彐剐䍉⡅ㄴ㔱⤸_x0018_＀＀_x0018_＀＀_x0008_＀＀_x0001_＀＀_x0001_＀＀晧晦癦䁖嘉偉(乓幖䍉䕟呓䵉呁⡅偅ⱓ䕍乁䄬乎㈬㄰ⰲㄴ㔱⤸_x0018_＀＀_x0018_＀＀_x0008_＀＀_x0001_＀＀_x0001_＀＀恂탥_xDB22_㾹䃡偉_x0013_䙃幒䝆偟䥒䕃㐨㤰㤰착_x0018_＀＀_x0018_＀＀_x0008_＀＀_x0001_＀＀_x0001_＀＀긔瑺䁊嘋偉)䅂䙎䥞彃卅䥔䅍䕔䔨卐䴬䅅ⱎ乁ⱎ〲㐱㐬ㄱ㠵착_x0018_＀＀_x0018_＀＀_x0008_＀＀_x0001_＀＀_x0001_＀＀晧晦晦䀊䃤偉_x0011_䙁偞偟䥒䕃㐨㜰㌹착_x0018_＀＀_x0018_＀＀_x0008_＀＀_x0001_＀＀_x0001_＀＀ꏗ㵰圊䀣噢偊)乆䝆䥞彃卅䥔䅍䕔䔨卐䴬䅅ⱎ乁ⱎ〲㌱㐬ㄱ㤵착_x0018_＀＀_x0018_＀＀_x0008_＀＀_x0001_＀＀_x0001_＀＀ᑺ䞮㿩嘉偉(剆幃䍉䕟呓䵉呁⡅偅ⱓ䕍乁䄬乎㈬㄰ⰳㄴ㔱⤸_x0018_＀＀_x0018_＀＀_x0008_＀＀_x0001_＀＀_x0001_＀＀휊炣਽䀇嘊偉'䙁䥞彃卅䥔䅍䕔䔨卐䴬䅅ⱎ乁ⱎ〲㌱㐬ㄱ㠵착_x0018_＀＀_x0018_＀＀_x0008_＀＀_x0001_＀＀_x0001_＀＀_xDB23_绹뱪㿤嘊偉)䵆剅䥞彃卅䥔䅍䕔䔨卐䴬䅅ⱎ乁ⱎ〲㐱㐬ㄱ㠵착_x0018_＀＀_x0018_＀＀_x0008_＀＀_x0001_＀＀_x0001_＀＀뙆ﷳ磔㿷嘊偉_x0013_䉂乃偞偟䥒䕃㐨ㄱ㠵착_x0018_＀＀_x0018_＀＀_x0008_＀＀_x0001_＀＀_x0001_＀＀晧晦晦䀩䃤偉_x0012_䉂幔彐剐䍉⡅〴㤷⤳_x0018_＀＀_x0018_＀＀_x0008_＀＀_x0001_＀＀_x0001_＀＀ਾꏗ㵰䀶嘋偉)噃䙂䥞彃卅䥔䅍䕔䔨卐䴬䅅ⱎ乁ⱎ〲㐱㐬ㄱ㠵착_x0018_＀＀_x0018_＀＀_x0008_＀＀_x0001_＀＀_x0001_＀＀뱫鍴И㿰嘋偉)偂䡆䥞彃卅䥔䅍䕔䔨卐䴬䅅ⱎ乁ⱎ〲㌱㐬ㄱ㠵착_x0018_＀＀_x0018_＀＀_x0008_＀＀_x0001_＀＀_x0001_＀＀멞౉⬂㿧䃤偉_x0013_䙆䍂偞偟䥒䕃㐨㜰㌹착_x0018_＀＀_x0018_＀＀_x0008_＀＀_x0001_＀＀_x0001_＀＀晧晦䀮䃤偉_x0012_剄幌彐剐䍉⡅〴㤷⤳_x0018_＀＀_x0018_＀＀_x0008_＀＀_x0001_＀＀_x0001_＀＀롑蔞㿷噢偊)䉐呃䥞彃卅䥔䅍䕔䔨卐䴬䅅ⱎ乁ⱎ〲㈱㐬ㄱ㤵착_x0018_＀＀_x0018_＀＀_x0008_＀＀_x0001_＀＀_x0001_＀＀컙号ꗣ㿧噢偊)噐䉔䥞彃卅䥔䅍䕔䔨卐䴬䅅ⱎ乁ⱎ〲㐱㐬ㄱ㤵착_x0018_＀＀_x0018_＀＀_x0008_＀＀_x0001_＀＀_x0001_＀＀ꇋ뙅ﷳ㿴噡偊_x0013_乐偆偞偟䥒䕃㐨ㄱ㤵착_x0018_＀＀_x0018_＀＀_x0008_＀＀_x0001_＀＀_x0001_＀＀轜ᰨ䀴噠偊_x0013_坎䥂偞偟䥒䕃㐨ㄱ㤵착_x0018_＀＀_x0018_＀＀_x0008_＀＀_x0001_＀＀_x0001_＀＀轜尨䀨嘊偉_x0013_䅗䍂偞偟䥒䕃㐨ㄱ㠵착_x0018_＀＀_x0018_＀＀_x0008_＀＀_x0001_＀＀_x0001_＀＀Ẹ䁇噜偊_x0013_剔䭍偞偟䥒䕃㐨㤰㤰착_x0018_＀＀_x0018_＀＀_x0008_＀＀_x0001_＀＀_x0001_＀＀휊炣䨽䀸噞偊(呍幂䍉䕟呓䵉呁⡅偅ⱓ䕍乁䄬乎㈬㄰ⰳㄴ㔱⤹_x0018_＀＀_x0018_＀＀_x0008_＀＀_x0001_＀＀_x0001_＀＀ꏗ㵰휊䀞䃤偉_x0014_䍆䍎幁彐剐䍉⡅〴㤷⤳_x0018_＀＀_x0018_＀＀_x0008_＀＀_x0001_＀＀_x0001_＀＀긕䁣䃤偉_x0014_䥆䉔䙞彇剐䍉⡅〴〹⤹_x0018_＀＀_x0018_＀＀_x0008_＀＀_x0001_＀＀_x0001_＀＀㵱휊炣䀩嘋偉)䉇䥃䥞彃卅䥔䅍䕔䔨卐䴬䅅ⱎ乁ⱎ〲㈱㐬ㄱ㠵착_x0018_＀＀_x0018_＀＀_x0008_＀＀_x0001_＀＀_x0001_＀＀ᢔ嘄ⴎ㿰嘉偉_x001B_䥆䉔偞䵟呋噟䱁㐨ㄱ㠵Ⱜ唬䑓착_x0018_＀＀_x0018_＀＀_x0008_＀＀_x0001_＀＀_x0001_＀＀糮㔿Ԟ䃋嘊偉_x001A_䱖幙彐䭍彔䅖⡌ㄴ㔱ⰸⰬ单⥄_x0018_＀＀_x0018_＀＀_x0008_＀＀_x0001_＀＀_x0001_＀＀ⓝ脆ㄕ䂟噠偊_x001B_䙆䍂偞䵟呋噟䱁㐨ㄱ㤵Ⱜ唬䑓착_x0018_＀＀_x0018_＀＀_x0008_＀＀_x0001_＀＀_x0001_＀＀퓽揸䂏嘊偉_x001B_南䍂偞䵟呋噟䱁㐨ㄱ㠵Ⱜ唬䑓착_x0018_＀＀_x0018_＀＀_x0008_＀＀_x0001_＀＀_x0001_＀＀瀻裎奒䂁嘊偉(䡆幎䍉䕟呓䵉呁⡅偅ⱓ䕍乁䄬乎㈬㄰ⰴㄴ㔱⤸_x0018_＀＀_x0018_＀＀_x0008_＀＀_x0001_＀＀_x0001_＀＀䞮竡긔㿯䃤偉_x0013_䵆䥂偞偟䥒䕃㐨㜰㌹착_x0018_＀＀_x0018_＀＀_x0008_＀＀_x0001_＀＀_x0001_＀＀馚香香䀠噡偊(䱖幙䍉䕟呓䵉呁⡅偅ⱓ䕍乁䄬乎㈬㄰ⰳㄴ㔱⤹_x0018_＀＀_x0018_＀＀_x0008_＀＀_x0001_＀＀_x0001_＀＀鞍ቮ삃㿦嘉偉(䉂幔䍉䕟呓䵉呁⡅偅ⱓ䕍乁䄬乎㈬㄰ⰳㄴ㔱⤸_x0018_＀＀_x0018_＀＀_x0008_＀＀_x0001_＀＀_x0001_＀＀㽽帵䦺䀈噟偊_x001B_偎䍂偞䵟呋噟䱁㐨ㄱ㤵Ⱜ唬䑓착_x0018_＀＀_x0018_＀＀_x0008_＀＀_x0001_＀＀_x0001_＀＀鍵И䂕噡偊)䉈䍈䥞彃卅䥔䅍䕔䔨卐䴬䅅ⱎ乁ⱎ〲㌱㐬ㄱ㤵착_x0018_＀＀_x0018_＀＀_x0008_＀＀_x0001_＀＀_x0001_＀＀鍵И๖䀅噢偊)剃䍂䥞彃卅䥔䅍䕔䔨卐䴬䅅ⱎ乁ⱎ〲㐱㐬ㄱ㤵착_x0018_＀＀_x0018_＀＀_x0008_＀＀_x0001_＀＀_x0001_＀＀＀＀＀＀＀＀㿼嘊偉_x0013_䅐坃偞偟䥒䕃㐨ㄱ㠵착_x0018_＀＀_x0018_＀＀_x0008_＀＀_x0001_＀＀_x0001_＀＀蔟凫_xDEB8_䀷嘊偉)商呌䥞彃卅䥔䅍䕔䔨卐䴬䅅ⱎ乁ⱎ〲㐱㐬ㄱ㠵착_x0018_＀＀_x0018_＀＀_x0008_＀＀_x0001_＀＀_x0001_＀＀틲才堐㿭噡偊)坅䍂䥞彃卅䥔䅍䕔䔨卐䴬䅅ⱎ乁ⱎ〲㈱㐬ㄱ㤵착_x0018_＀＀_x0018_＀＀_x0008_＀＀_x0001_＀＀_x0001_＀＀Წ摚_xDF3B_㿽噡偊_x0013_呓䅂偞偟䥒䕃㐨ㄱ㤵착_x0018_＀＀_x0018_＀＀_x0008_＀＀_x0001_＀＀_x0001_＀＀쳍쳌쳌䀱嘊偉_x0013_䉎䉔偞偟䥒䕃㐨ㄱ㠵착_x0018_＀＀_x0018_＀＀_x0008_＀＀_x0001_＀＀_x0001_＀＀艁쟢ꮘ䀵噠偊_x0012_䉃幕彐剐䍉⡅〴〹⤹_x0018_＀＀_x0018_＀＀_x0008_＀＀_x0001_＀＀_x0001_＀＀쳍쳌쳌䀻嘊偉(䉆幃䍉䕟呓䵉呁⡅偅ⱓ䕍乁䄬乎㈬㄰ⰳㄴ㔱⤸_x0018_＀＀_x0018_＀＀_x0008_＀＀_x0001_＀＀_x0001_＀＀馚香香㾹嘉偉_x001B_䉈乁偞䵟呋噟䱁㐨ㄱ㠵Ⱜ唬䑓착_x0018_＀＀_x0018_＀＀_x0008_＀＀_x0001_＀＀_x0001_＀＀龿⼚▽䂶噛偊_x0012_䙃幒彐剐䍉⡅〴〹⤹_x0018_＀＀_x0018_＀＀_x0008_＀＀_x0001_＀＀_x0001_＀＀긕瑺䁊噡偊)十䍂䥞彃卅䥔䅍䕔䔨卐䴬䅅ⱎ乁ⱎ〲㈱㐬ㄱ㤵착_x0018_＀＀_x0018_＀＀_x0008_＀＀_x0001_＀＀_x0001_＀＀좴빶᪟㿯噢偊)䙆䍂䥞彃卅䥔䅍䕔䔨卐䴬䅅ⱎ乁ⱎ〲㌱㐬ㄱ㤵착_x0018_＀＀_x0018_＀＀_x0008_＀＀_x0001_＀＀_x0001_＀＀嘄ⴎ鶲㿳噢偊)䉉䍋䥞彃卅䥔䅍䕔䔨卐䴬䅅ⱎ乁ⱎ〲㐱㐬ㄱ㤵착_x0018_＀＀_x0018_＀＀_x0008_＀＀_x0001_＀＀_x0001_＀＀쳍쳌쳌䀊嘋偉)䅐坃䥞彃卅䥔䅍䕔䔨卐䴬䅅ⱎ乁ⱎ〲㈱㐬ㄱ㠵착_x0018_＀＀_x0018_＀＀_x0008_＀＀_x0001_＀＀_x0001_＀＀뙆ﷳ磔㿷嘊偉_x0013_䍆乂偞偟䥒䕃㐨㤰㤰착_x0018_＀＀_x0018_＀＀_x0008_＀＀_x0001_＀＀_x0001_＀＀＀＀＀＀ꀀ䁹嘊偉)䉉䍏䥞彃卅䥔䅍䕔䔨卐䴬䅅ⱎ乁ⱎ〲㌱㐬ㄱ㠵착_x0018_＀＀_x0018_＀＀_x0008_＀＀_x0001_＀＀_x0001_＀＀轜尨㿷嘋偉)偎䍂䥞彃卅䥔䅍䕔䔨卐䴬䅅ⱎ乁ⱎ〲㈱㐬ㄱ㠵착_x0018_＀＀_x0018_＀＀_x0008_＀＀_x0001_＀＀_x0001_＀＀鮥⃄㿤嘊偉(奃幎䍉䕟呓䵉呁⡅偅ⱓ䕍乁䄬乎㈬㄰ⰳㄴ㔱⤸_x0018_＀＀_x0018_＀＀_x0008_＀＀_x0001_＀＀_x0001_＀＀ᑺ䞮䀏噞偊_x001B_十䍂偞䵟呋噟䱁㐨ㄱ㤵Ⱜ唬䑓착_x0018_＀＀_x0018_＀＀_x0008_＀＀_x0001_＀＀_x0001_＀＀⃅犰ꈨ䂡噟偊_x0013_䵕児偞偟䥒䕃㐨㤰㤰착_x0018_＀＀_x0018_＀＀_x0008_＀＀_x0001_＀＀_x0001_＀＀ᑺ잮䀨嘉偉_x001B_䉃䡓偞䵟呋噟䱁㐨ㄱ㠵Ⱜ唬䑓착_x0018_＀＀_x0018_＀＀_x0008_＀＀_x0001_＀＀_x0001_＀＀司ꗣ䂫噡偊_x0013_乆䝆偞偟䥒䕃㐨㤰㤰착_x0018_＀＀_x0018_＀＀_x0008_＀＀_x0001_＀＀_x0001_＀＀尨䊏䀡嘊偉(䍔幂䍉䕟呓䵉呁⡅偅ⱓ䕍乁䄬乎㈬㄰ⰴㄴ㔱⤸_x0018_＀＀_x0018_＀＀_x0008_＀＀_x0001_＀＀_x0001_＀＀ꧻ틱㿳嘊偉)䅃奔䥞彃卅䥔䅍䕔䔨卐䴬䅅ⱎ乁ⱎ〲㈱㐬ㄱ㠵착_x0018_＀＀_x0018_＀＀_x0008_＀＀_x0001_＀＀_x0001_＀＀_xDB23_绹뱪㿴噞偊(乓幖䍉䕟呓䵉呁⡅偅ⱓ䕍乁䄬乎㈬㄰ⰲㄴ㔱⤹_x0018_＀＀_x0018_＀＀_x0008_＀＀_x0001_＀＀_x0001_＀＀恂탥_xDB22_㾹噝偊_x0012_呍幂彐剐䍉⡅ㄴ㔱⤹_x0018_＀＀_x0018_＀＀_x0008_＀＀_x0001_＀＀_x0001_＀＀＀＀＀＀뀀䁖嘋偉)呓䅓䥞彃卅䥔䅍䕔䔨卐䴬䅅ⱎ乁ⱎ〲㐱㐬ㄱ㠵착_x0018_＀＀_x0018_＀＀_x0008_＀＀_x0001_＀＀_x0001_＀＀豀碵꼝쐕嘋偉)南䍂䥞彃卅䥔䅍䕔䔨卐䴬䅅ⱎ乁ⱎ〲㈱㐬ㄱ㠵착_x0018_＀＀_x0018_＀＀_x0008_＀＀_x0001_＀＀_x0001_＀＀鮦⃄犰㿼噝偊_x001A_䭂幕彐䭍彔䅖⡌ㄴ㔱ⰹⰬ单⥄_x0018_＀＀_x0018_＀＀_x0008_＀＀_x0001_＀＀_x0001_＀＀슏⣵䂡噡偊)䵆剅䥞彃卅䥔䅍䕔䔨卐䴬䅅ⱎ乁ⱎ〲㐱㐬ㄱ㤵착_x0018_＀＀_x0018_＀＀_x0008_＀＀_x0001_＀＀_x0001_＀＀뙆ﷳ磔㿷噡偊'䙁䥞彃卅䥔䅍䕔䔨卐䴬䅅ⱎ乁ⱎ〲㌱㐬ㄱ㤵착_x0018_＀＀_x0018_＀＀_x0008_＀＀_x0001_＀＀_x0001_＀＀_xDB23_绹뱪㿤噝偊(剆幃䍉䕟呓䵉呁⡅偅ⱓ䕍乁䄬乎㈬㄰ⰳㄴ㔱⤹_x0018_＀＀_x0018_＀＀_x0008_＀＀_x0001_＀＀_x0001_＀＀휊炣਽䀇嘉偉_x001B_呓䅓偞䵟呋噟䱁㐨ㄱ㠵Ⱜ唬䑓착_x0018_＀＀_x0018_＀＀_x0008_＀＀_x0001_＀＀_x0001_＀＀᪠_xDD2F_릤䂔噢偊)噃䙂䥞彃卅䥔䅍䕔䔨卐䴬䅅ⱎ乁ⱎ〲㐱㐬ㄱ㤵착_x0018_＀＀_x0018_＀＀_x0008_＀＀_x0001_＀＀_x0001_＀＀뱫鍴И㿰嘉偉_x001B_噐䉔偞䵟呋噟䱁㐨ㄱ㠵Ⱜ唬䑓착_x0018_＀＀_x0018_＀＀_x0008_＀＀_x0001_＀＀_x0001_＀＀晧晦䂒噝偊_x0012_䵃幁彐剐䍉⡅〴〹⤹_x0018_＀＀_x0018_＀＀_x0008_＀＀_x0001_＀＀_x0001_＀＀쳍쳌쳌䀹䃤偉_x0013_呍幂䝆偟䥒䕃㐨㤰㤰착_x0018_＀＀_x0018_＀＀_x0008_＀＀_x0001_＀＀_x0001_＀＀⣶轜ᗂ䁓䃣偉)䉐呃䥞彄卅䥔䅍䕔䔨卐䴬䅅ⱎ乁ⱎ〲㐱〬Ⱜ〬착_x0018_＀＀_x0018_＀＀_x0008_＀＀_x0001_＀＀_x0001_＀＀珫ᖵ쯻㿮嘉偉_x0011_䉐偞偟䥒䕃㐨ㄱ㠵착_x0018_＀＀_x0018_＀＀_x0008_＀＀_x0001_＀＀_x0001_＀＀凬Ẹ⮅䁆噢偊)䉇䥃䥞彃卅䥔䅍䕔䔨卐䴬䅅ⱎ乁ⱎ〲㈱㐬ㄱ㤵착_x0018_＀＀_x0018_＀＀_x0008_＀＀_x0001_＀＀_x0001_＀＀ᢔ嘄ⴎ㿰䃤偉_x0011_䙒偞偟䥒䕃㐨㜰㌹착_x0018_＀＀_x0018_＀＀_x0008_＀＀_x0001_＀＀_x0001_＀＀ᑻ䞮竡䀑䃤偉_x0012_乏幂彐剐䍉⡅〴㤷⤳_x0018_＀＀_x0018_＀＀_x0008_＀＀_x0001_＀＀_x0001_＀＀Ẹ㡑䀣䃤偉_x0014_商呌䙞彇剐䍉⡅〴〹⤹_x0018_＀＀_x0018_＀＀_x0008_＀＀_x0001_＀＀_x0001_＀＀蔟凫麸䀣噡偊(䡆幎䍉䕟呓䵉呁⡅偅ⱓ䕍乁䄬乎㈬㄰ⰴㄴ㔱⤹_x0018_＀＀_x0018_＀＀_x0008_＀＀_x0001_＀＀_x0001_＀＀䞮竡긔㿯噟偊_x0013_䉈䍈偞偟䥒䕃㐨㤰㤰착_x0018_＀＀_x0018_＀＀_x0008_＀＀_x0001_＀＀_x0001_＀＀ẹ䀿䃤偉_x0013_䙃乆偞偟䥒䕃㐨㜰㌹착_x0018_＀＀_x0018_＀＀_x0008_＀＀_x0001_＀＀_x0001_＀＀竡긔慇䀥嘋偉(䉃幕䍉䕟呓䵉呁⡅偅ⱓ䕍乁䄬乎㈬㄰ⰳㄴ㔱⤸_x0018_＀＀_x0018_＀＀_x0008_＀＀_x0001_＀＀_x0001_＀＀盉龾⼚䀁嘋偉(奎幂䍉䕟呓䵉呁⡅偅ⱓ䕍乁䄬乎㈬㄰ⰳㄴ㔱⤸_x0018_＀＀_x0018_＀＀_x0008_＀＀_x0001_＀＀_x0001_＀＀ⴎ鶲꟯㿰噞偊(䉂幔䍉䕟呓䵉呁⡅偅ⱓ䕍乁䄬乎㈬㄰ⰳㄴ㔱⤹_x0018_＀＀_x0018_＀＀_x0008_＀＀_x0001_＀＀_x0001_＀＀㽽帵䦺䀈噞偊_x001A_呓幉彐䭍彔䅖⡌ㄴ㔱ⰹⰬ单⥄_x0018_＀＀_x0018_＀＀_x0008_＀＀_x0001_＀＀_x0001_＀＀ᚇ컙䃌嘉偉_x0012_䉆幐彐剐䍉⡅ㄴ㔱⤸_x0018_＀＀_x0018_＀＀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36952</t>
        </r>
      </text>
    </comment>
    <comment ref="A2" authorId="0" shapeId="0">
      <text>
        <r>
          <rPr>
            <b/>
            <sz val="9"/>
            <color indexed="81"/>
            <rFont val="Tahoma"/>
            <family val="2"/>
          </rPr>
          <t>_x0008_＀＀_x0001_＀＀_x0001_＀＀蔟凫Ẹ䀑䃢偉_x0014_乆䝆䙞彇剐䍉⡅ㄴ㔱⤸_x0018_＀＀_x0018_＀＀_x0008_＀＀_x0001_＀＀_x0001_＀＀尩슏棵䀠䃢偉_x0014_䉐呃䙞彇剐䍉⡅〴〹⤹_x0018_＀＀_x0018_＀＀_x0008_＀＀_x0001_＀＀_x0001_＀＀㌳㌳댳䀩嘋偉*䉃奃幂䍉䕟呓䵉呁⡅偅ⱓ䕍乁䄬乎㈬㄰ⰴㄴ㔱⤸_x0014_＀＀_x0018_＀＀_x0004_＀＀_x0001_＀＀_x0003_＀＀＀＀耀嘋偉)婏䭒䥞彃卅䥔䅍䕔䔨卐䴬䅅ⱎ乁ⱎ〲㐱㐬ㄱ㠵착_x0018_＀＀_x0018_＀＀_x0008_＀＀_x0001_＀＀_x0001_＀＀馚香香䀃噟偊_x0013_䅃奔偞偟䥒䕃㐨㤰㤰착_x0018_＀＀_x0018_＀＀_x0008_＀＀_x0001_＀＀_x0001_＀＀轜_xDC28_䀭嘊偉_x001B_乐偆偞䵟呋噟䱁㐨ㄱ㠵Ⱜ唬䑓착_x0018_＀＀_x0018_＀＀_x0008_＀＀_x0001_＀＀_x0001_＀＀閁譃楬䂅嘊偉)䅗䑆䥞彃卅䥔䅍䕔䔨卐䴬䅅ⱎ乁ⱎ〲㌱㐬ㄱ㠵착_x0018_＀＀_x0018_＀＀_x0008_＀＀_x0001_＀＀_x0001_＀＀휊炣਽㿵噝偊_x0012_䭂幕彐剐䍉⡅〴〹⤹_x0018_＀＀_x0018_＀＀_x0008_＀＀_x0001_＀＀_x0001_＀＀ਾꏗﵰ䀵噠偊_x0012_千幅彐剐䍉⡅〴〹⤹_x0018_＀＀_x0018_＀＀_x0008_＀＀_x0001_＀＀_x0001_＀＀쳍쳌쳌䀚䃤偉_x0013_佂幈䝆偟䥒䕃㐨㤰㤰착_x0018_＀＀_x0018_＀＀_x0008_＀＀_x0001_＀＀_x0001_＀＀蔟凫㺸䁆嘊偉)噐䉔䥞彃卅䥔䅍䕔䔨卐䴬䅅ⱎ乁ⱎ〲㈱㐬ㄱ㠵착_x0018_＀＀_x0018_＀＀_x0008_＀＀_x0001_＀＀_x0001_＀＀⼛ⓝ脆㿩噡偊)商呌䥞彃卅䥔䅍䕔䔨卐䴬䅅ⱎ乁ⱎ〲㐱㐬ㄱ㤵착_x0018_＀＀_x0018_＀＀_x0008_＀＀_x0001_＀＀_x0001_＀＀틲才堐㿭嘉偉_x0013_䅗䑆偞偟䥒䕃㐨ㄱ㠵착_x0018_＀＀_x0018_＀＀_x0008_＀＀_x0001_＀＀_x0001_＀＀尩슏棵䀰嘋偉(剄幌䍉䕟呓䵉呁⡅偅ⱓ䕍乁䄬乎㈬㄰ⰳㄴ㔱⤸_x0018_＀＀_x0018_＀＀_x0008_＀＀_x0001_＀＀_x0001_＀＀＀＀＀＀＀＀㿐嘉偉(䵃幁䍉䕟呓䵉呁⡅偅ⱓ䕍乁䄬乎㈬㄰ⰴㄴ㔱⤸_x0018_＀＀_x0018_＀＀_x0008_＀＀_x0001_＀＀_x0001_＀＀ꧻ틱䀇嘊偉)䥆乎䥞彃卅䥔䅍䕔䔨卐䴬䅅ⱎ乁ⱎ〲㌱㐬ㄱ㠵착_x0014_＀＀_x0018_＀＀_x0004_＀＀_x0001_＀＀_x0003_＀＀＀＀耀嘊偉(䙃幒䍉䕟呓䵉呁⡅偅ⱓ䕍乁䄬乎㈬㄰ⰴㄴ㔱⤸_x0018_＀＀_x0018_＀＀_x0008_＀＀_x0001_＀＀_x0001_＀＀㌳㌳㌳䀐噟偊_x0013_偎䍂偞偟䥒䕃㐨㤰㤰착_x0018_＀＀_x0018_＀＀_x0008_＀＀_x0001_＀＀_x0001_＀＀竡긔䀠嘊偉_x0012_䙏幇彐剐䍉⡅〴〹⤹_x0018_＀＀_x0018_＀＀_x0008_＀＀_x0001_＀＀_x0001_＀＀Ẹ㡑䀨䃤偉_x0013_䥆䭂偞偟䥒䕃㐨㜰㌹착_x0018_＀＀_x0018_＀＀_x0008_＀＀_x0001_＀＀_x0001_＀＀㌴㌳㌳䀧嘉偉_x0013_呓䅓偞偟䥒䕃㐨ㄱ㠵착_x0018_＀＀_x0018_＀＀_x0008_＀＀_x0001_＀＀_x0001_＀＀馚香妙䀵噟偊_x0013_噐䉔偞偟䥒䕃㐨㤰㤰착_x0018_＀＀_x0018_＀＀_x0008_＀＀_x0001_＀＀_x0001_＀＀⣶轜䀥嘋偉(千幅䍉䕟呓䵉呁⡅偅ⱓ䕍乁䄬乎㈬㄰ⰳㄴ㔱⤸_x0018_＀＀_x0018_＀＀_x0008_＀＀_x0001_＀＀_x0001_＀＀Ȍ蜫_xD916_㿢噢偊)偎䍂䥞彃卅䥔䅍䕔䔨卐䴬䅅ⱎ乁ⱎ〲㈱㐬ㄱ㤵착_x0018_＀＀_x0018_＀＀_x0008_＀＀_x0001_＀＀_x0001_＀＀鮥⃄㿤噢偊)䉉䍏䥞彃卅䥔䅍䕔䔨卐䴬䅅ⱎ乁ⱎ〲㌱㐬ㄱ㤵착_x0018_＀＀_x0018_＀＀_x0008_＀＀_x0001_＀＀_x0001_＀＀轜尨㿷嘉偉)䥚乏䥞彃卅䥔䅍䕔䔨卐䴬䅅ⱎ乁ⱎ〲㌱㐬ㄱ㠵착_x0018_＀＀_x0018_＀＀_x0008_＀＀_x0001_＀＀_x0001_＀＀๖눭㿻噝偊(奃幎䍉䕟呓䵉呁⡅偅ⱓ䕍乁䄬乎㈬㄰ⰳㄴ㔱⤹_x0018_＀＀_x0018_＀＀_x0008_＀＀_x0001_＀＀_x0001_＀＀ᑺ䞮䀏噝偊_x0013_䥆䉔偞偟䥒䕃㐨㤰㤰착_x0018_＀＀_x0018_＀＀_x0008_＀＀_x0001_＀＀_x0001_＀＀㵱휊炣䀩嘋偉)剃䍂䥞彃卅䥔䅍䕔䔨卐䴬䅅ⱎ乁ⱎ〲㈱㐬ㄱ㠵착_x0018_＀＀_x0018_＀＀_x0008_＀＀_x0001_＀＀_x0001_＀＀슏⣵轜䀀嘊偉_x0013_噃䙂偞偟䥒䕃㐨ㄱ㠵착_x0018_＀＀_x0018_＀＀_x0008_＀＀_x0001_＀＀_x0001_＀＀凬Ẹ殅䀨嘉偉_x0013_商呌偞偟䥒䕃㐨ㄱ㠵착_x0018_＀＀_x0018_＀＀_x0008_＀＀_x0001_＀＀_x0001_＀＀ᑻ䞮﫡䀣嘋偉)䍓呂䥞彃卅䥔䅍䕔䔨卐䴬䅅ⱎ乁ⱎ〲㌱㐬ㄱ㠵착_x0018_＀＀_x0018_＀＀_x0008_＀＀_x0001_＀＀_x0001_＀＀إ閁譃䀉噢偊)䅃奔䥞彃卅䥔䅍䕔䔨卐䴬䅅ⱎ乁ⱎ〲㈱㐬ㄱ㤵착_x0018_＀＀_x0018_＀＀_x0008_＀＀_x0001_＀＀_x0001_＀＀_xDB23_绹뱪㿴噡偊(䍔幂䍉䕟呓䵉呁⡅偅ⱓ䕍乁䄬乎㈬㄰ⰴㄴ㔱⤹_x0018_＀＀_x0018_＀＀_x0008_＀＀_x0001_＀＀_x0001_＀＀ꧻ틱㿳䃤偉_x0013_䅂䙎偞偟䥒䕃㐨㜰㌹착_x0018_＀＀_x0018_＀＀_x0008_＀＀_x0001_＀＀_x0001_＀＀＀＀＀＀ꀀ䁁䃤偉_x0013_䍔䥂偞偟䥒䕃㐨㜰㌹착_x0018_＀＀_x0018_＀＀_x0008_＀＀_x0001_＀＀_x0001_＀＀⣶轜뗂䀸嘉偉_x0012_䕋幙彐剐䍉⡅ㄴ㔱⤸_x0018_＀＀_x0018_＀＀_x0008_＀＀_x0001_＀＀_x0001_＀＀롑Ԟ䀡嘉偉_x001A_䉂幔彐䭍彔䅖⡌ㄴ㔱ⰸⰬ单⥄_x0018_＀＀_x0018_＀＀_x0008_＀＀_x0001_＀＀_x0001_＀＀尩슏வ䃖噛偊_x0012_䱖幙彐剐䍉⡅〴〹⤹_x0018_＀＀_x0018_＀＀_x0008_＀＀_x0001_＀＀_x0001_＀＀緘还䀧噡偊_x0013_佈䉍偞偟䥒䕃㐨㤰㤰착_x0018_＀＀_x0018_＀＀_x0008_＀＀_x0001_＀＀_x0001_＀＀尩슏䀹噠偊_x001B_噃䙂偞䵟呋噟䱁㐨ㄱ㤵Ⱜ唬䑓착_x0018_＀＀_x0018_＀＀_x0008_＀＀_x0001_＀＀_x0001_＀＀㌴㌳䤳䂔嘊偉_x0013_䍐䍂偞偟䥒䕃㐨㤰㤰착_x0018_＀＀_x0018_＀＀_x0008_＀＀_x0001_＀＀_x0001_＀＀ਾꏗ㵰䀼嘊偉_x001B_婏䭒偞䵟呋噟䱁㐨ㄱ㠵Ⱜ唬䑓착_x0018_＀＀_x0018_＀＀_x0008_＀＀_x0001_＀＀_x0001_＀＀尩슏䃵䂒嘊偉)䉉䍋䥞彃卅䥔䅍䕔䔨卐䴬䅅ⱎ乁ⱎ〲㈱㐬ㄱ㠵착_x0018_＀＀_x0018_＀＀_x0008_＀＀_x0001_＀＀_x0001_＀＀_xDD2F_ؤ閁䀂嘊偉(䭂幕䍉䕟呓䵉呁⡅偅ⱓ䕍乁䄬乎㈬㄰ⰳㄴ㔱⤸_x0018_＀＀_x0018_＀＀_x0008_＀＀_x0001_＀＀_x0001_＀＀Й๖눭㿹噜偊_x0011_䉐偞偟䥒䕃㐨ㄱ㤵착_x0018_＀＀_x0018_＀＀_x0008_＀＀_x0001_＀＀_x0001_＀＀轜ᰨ䁆嘉偉_x0013_呗䍆偞偟䥒䕃㐨ㄱ㠵착_x0018_＀＀_x0018_＀＀_x0008_＀＀_x0001_＀＀_x0001_＀＀凬Ẹ쮅䁂噞偊_x0013_坅䍂偞偟䥒䕃㐨㤰㤰착_x0018_＀＀_x0018_＀＀_x0008_＀＀_x0001_＀＀_x0001_＀＀＀＀＀＀쀀䀳噟偊_x0013_䵕䙂偞偟䥒䕃㐨㤰㤰착_x0018_＀＀_x0018_＀＀_x0008_＀＀_x0001_＀＀_x0001_＀＀＀＀＀＀ꀀ䁂噜偊_x0019_䉐偞䵟呋噟䱁㐨ㄱ㤵Ⱜ唬䑓착_x0018_＀＀_x0018_＀＀_x0008_＀＀_x0001_＀＀_x0001_＀＀摚_xDF3B_崏䂣噟偊_x0013_䉍䥆偞偟䥒䕃㐨㤰㤰착_x0018_＀＀_x0018_＀＀_x0008_＀＀_x0001_＀＀_x0001_＀＀馚香ᦙ䀱噢偊(奎幂䍉䕟呓䵉呁⡅偅ⱓ䕍乁䄬乎㈬㄰ⰳㄴ㔱⤹_x0018_＀＀_x0018_＀＀_x0008_＀＀_x0001_＀＀_x0001_＀＀ⴎ鶲꟯㿰噢偊(䉃幕䍉䕟呓䵉呁⡅偅ⱓ䕍乁䄬乎㈬㄰ⰳㄴ㔱⤹_x0018_＀＀_x0018_＀＀_x0008_＀＀_x0001_＀＀_x0001_＀＀盉龾⼚䀁䃤偉_x0013_䕋幙䝆偟䥒䕃㐨㤰㤰착_x0018_＀＀_x0018_＀＀_x0008_＀＀_x0001_＀＀_x0001_＀＀尨슏䀞噟偊_x0013_䵆剅偞偟䥒䕃㐨㤰㤰착_x0018_＀＀_x0018_＀＀_x0008_＀＀_x0001_＀＀_x0001_＀＀尨䊏䀮嘋偉)䅂䙎䥞彃卅䥔䅍䕔䔨卐䴬䅅ⱎ乁ⱎ〲㈱㐬ㄱ㠵착_x0018_＀＀_x0018_＀＀_x0008_＀＀_x0001_＀＀_x0001_＀＀㌳㌳㌳䀉噡偊_x001B_乆䝆偞䵟呋噟䱁㐨ㄱ㤵Ⱜ唬䑓착_x0018_＀＀_x0018_＀＀_x0008_＀＀_x0001_＀＀_x0001_＀＀컙号舣䂦嘉偉_x0012_塂幓彐剐䍉⡅ㄴ㔱⤸_x0018_＀＀_x0018_＀＀_x0008_＀＀_x0001_＀＀_x0001_＀＀＀＀＀＀耀䀮䃤偉_x0013_剔䭍偞偟䥒䕃㐨㜰㌹착_x0018_＀＀_x0018_＀＀_x0008_＀＀_x0001_＀＀_x0001_＀＀㌴㌳㌳䀴嘊偉(佂幈䍉䕟呓䵉呁⡅偅ⱓ䕍乁䄬乎㈬㄰ⰴㄴ㔱⤸_x0018_＀＀_x0018_＀＀_x0008_＀＀_x0001_＀＀_x0001_＀＀晧晦晦䀌噢偊)婏䭒䥞彃卅䥔䅍䕔䔨卐䴬䅅ⱎ乁ⱎ〲㐱㐬ㄱ㤵착_x0018_＀＀_x0018_＀＀_x0008_＀＀_x0001_＀＀_x0001_＀＀馚香香䀃嘊偉)䵆剅䥞彃卅䥔䅍䕔䔨卐䴬䅅ⱎ乁ⱎ〲㈱㐬ㄱ㠵착_x0018_＀＀_x0018_＀＀_x0008_＀＀_x0001_＀＀_x0001_＀＀롑蔞㿳嘋偉)噃䙂䥞彃卅䥔䅍䕔䔨卐䴬䅅ⱎ乁ⱎ〲㈱㐬ㄱ㠵착_x0018_＀＀_x0018_＀＀_x0008_＀＀_x0001_＀＀_x0001_＀＀嘄ⴎ鶲㿫嘊偉)䵕䙂䥞彃卅䥔䅍䕔䔨卐䴬䅅ⱎ乁ⱎ〲㐱㐬ㄱ㠵착_x0018_＀＀_x0018_＀＀_x0008_＀＀_x0001_＀＀_x0001_＀＀㌳㌳㌳䀍噢偊)噐䉔䥞彃卅䥔䅍䕔䔨卐䴬䅅ⱎ乁ⱎ〲㈱㐬ㄱ㤵착_x0018_＀＀_x0018_＀＀_x0008_＀＀_x0001_＀＀_x0001_＀＀⼛ⓝ脆㿩嘉偉_x0013_十䍂偞偟䥒䕃㐨ㄱ㠵착_x0018_＀＀_x0018_＀＀_x0008_＀＀_x0001_＀＀_x0001_＀＀尩슏⣵䀪嘉偉_x001B_剃䍂偞䵟呋噟䱁㐨ㄱ㠵Ⱜ唬䑓착_x0018_＀＀_x0018_＀＀_x0008_＀＀_x0001_＀＀_x0001_＀＀ڎᛰ䂉嘋偉)䥆䭂䥞彃卅䥔䅍䕔䔨卐䴬䅅ⱎ乁ⱎ〲㐱㐬ㄱ㠵착_x0018_＀＀_x0018_＀＀_x0008_＀＀_x0001_＀＀_x0001_＀＀＀＀＀＀＀＀㿶嘊偉_x0013_䡃䍆偞偟䥒䕃㐨ㄱ㠵착_x0018_＀＀_x0018_＀＀_x0008_＀＀_x0001_＀＀_x0001_＀＀슏⣵콜䀷嘊偉(䡆幎䍉䕟呓䵉呁⡅偅ⱓ䕍乁䄬乎㈬㄰ⰲㄴ㔱⤸_x0018_＀＀_x0018_＀＀_x0008_＀＀_x0001_＀＀_x0001_＀＀ꧼ틱才㽐嘋偉)䡃䍆䥞彃卅䥔䅍䕔䔨卐䴬䅅ⱎ乁ⱎ〲㌱㐬ㄱ㠵착_x0018_＀＀_x0018_＀＀_x0008_＀＀_x0001_＀＀_x0001_＀＀ొ⬂ᚇ㿿噞偊(䵃幁䍉䕟呓䵉呁⡅偅ⱓ䕍乁䄬乎㈬㄰ⰴㄴ㔱⤹_x0018_＀＀_x0018_＀＀_x0008_＀＀_x0001_＀＀_x0001_＀＀ꧻ틱䀇噟偊_x001B_䉕䥓偞䵟呋噟䱁㐨ㄱ㤵Ⱜ唬䑓착_x0018_＀＀_x0018_＀＀_x0008_＀＀_x0001_＀＀_x0001_＀＀酩糭挿䂓嘋偉)䍐䍂䥞彃卅䥔䅍䕔䔨卐䴬䅅ⱎ乁ⱎ〲㌱㐬ㄱ㠵착_x0018_＀＀_x0018_＀＀_x0008_＀＀_x0001_＀＀_x0001_＀＀豀碵꼝쐕噝偊(䙃幒䍉䕟呓䵉呁⡅偅ⱓ䕍乁䄬乎㈬㄰ⰴㄴ㔱⤹_x0018_＀＀_x0018_＀＀_x0008_＀＀_x0001_＀＀_x0001_＀＀㌳㌳㌳䀐嘉偉)䥆䉔䥞彃卅䥔䅍䕔䔨卐䴬䅅ⱎ乁ⱎ〲㐱㐬ㄱ㠵착_x0018_＀＀_x0018_＀＀_x0008_＀＀_x0001_＀＀_x0001_＀＀竡긔㿺䃤偉_x0012_䉃幕彐剐䍉⡅〴㤷⤳_x0018_＀＀_x0018_＀＀_x0008_＀＀_x0001_＀＀_x0001_＀＀슐⣵轜䀸嘉偉(䕋幙䍉䕟呓䵉呁⡅偅ⱓ䕍乁䄬乎㈬㄰ⰳㄴ㔱⤸_x0018_＀＀_x0018_＀＀_x0008_＀＀_x0001_＀＀_x0001_＀＀犰酨糭㿫嘋偉*䉃奃幂䍉䕟呓䵉呁⡅偅ⱓ䕍乁䄬乎㈬㄰ⰲㄴ㔱⤸_x0014_＀＀_x0018_＀＀_x0004_＀＀_x0001_＀＀_x0003_＀＀＀＀耀噢偊(千幅䍉䕟呓䵉呁⡅偅ⱓ䕍乁䄬乎㈬㄰ⰳㄴ㔱⤹_x0018_＀＀_x0018_＀＀_x0008_＀＀_x0001_＀＀_x0001_＀＀Ȍ蜫_xD916_㿢嘊偉_x0013_䍓呂偞偟䥒䕃㐨ㄱ㠵착_x0018_＀＀_x0018_＀＀_x0008_＀＀_x0001_＀＀_x0001_＀＀롑攞䁄噞偊)䥚乏䥞彃卅䥔䅍䕔䔨卐䴬䅅ⱎ乁ⱎ〲㌱㐬ㄱ㤵착_x0018_＀＀_x0018_＀＀_x0008_＀＀_x0001_＀＀_x0001_＀＀๖눭㿻嘉偉_x0013_䥆乎偞偟䥒䕃㐨㤰㤰착_x0018_＀＀_x0018_＀＀_x0008_＀＀_x0001_＀＀_x0001_＀＀＀＀＀＀谀䂧嘋偉)䍕䥂䥞彃卅䥔䅍䕔䔨卐䴬䅅ⱎ乁ⱎ〲㐱㐬ㄱ㠵착_x0018_＀＀_x0018_＀＀_x0008_＀＀_x0001_＀＀_x0001_＀＀凬Ẹ㿱噢偊)剃䍂䥞彃卅䥔䅍䕔䔨卐䴬䅅ⱎ乁ⱎ〲㈱㐬ㄱ㤵착_x0018_＀＀_x0018_＀＀_x0008_＀＀_x0001_＀＀_x0001_＀＀슏⣵轜䀀䃤偉_x0012_䙃幒彐剐䍉⡅〴㤷⤳_x0018_＀＀_x0018_＀＀_x0008_＀＀_x0001_＀＀_x0001_＀＀尨芏䁈噢偊)䍓呂䥞彃卅䥔䅍䕔䔨卐䴬䅅ⱎ乁ⱎ〲㌱㐬ㄱ㤵착_x0018_＀＀_x0018_＀＀_x0008_＀＀_x0001_＀＀_x0001_＀＀إ閁譃䀉噠偊_x0013_噃䙂偞偟䥒䕃㐨ㄱ㤵착_x0018_＀＀_x0018_＀＀_x0008_＀＀_x0001_＀＀_x0001_＀＀ᑺ잮䀨噟偊_x0013_商呌偞偟䥒䕃㐨ㄱ㤵착_x0018_＀＀_x0018_＀＀_x0008_＀＀_x0001_＀＀_x0001_＀＀蔟凫Ẹ䀤嘊偉_x0013_䉐呃偞偟䥒䕃㐨ㄱ㠵착_x0018_＀＀_x0018_＀＀_x0008_＀＀_x0001_＀＀_x0001_＀＀롒蔞凫䀨噠偊_x0013_坎䥂偞偟䥒䕃㐨㤰㤰착_x0018_＀＀_x0018_＀＀_x0008_＀＀_x0001_＀＀_x0001_＀＀竡긔䀨噡偊_x0013_乐偆偞偟䥒䕃㐨㤰㤰착_x0018_＀＀_x0018_＀＀_x0008_＀＀_x0001_＀＀_x0001_＀＀晦晦♦䀰嘊偉)商呌䥞彃卅䥔䅍䕔䔨卐䴬䅅ⱎ乁ⱎ〲㈱㐬ㄱ㠵착_x0018_＀＀_x0018_＀＀_x0008_＀＀_x0001_＀＀_x0001_＀＀桳㽼㿩嘊偉)呗䍆䥞彃卅䥔䅍䕔䔨卐䴬䅅ⱎ乁ⱎ〲㐱㐬ㄱ㠵착_x0018_＀＀_x0018_＀＀_x0008_＀＀_x0001_＀＀_x0001_＀＀㝌䆉䀇嘋偉(䙐幓䍉䕟呓䵉呁⡅偅ⱓ䕍乁䄬乎㈬㄰ⰳㄴ㔱⤸_x0018_＀＀_x0018_＀＀_x0008_＀＀_x0001_＀＀_x0001_＀＀䆉⋐㿳噝偊_x0012_䕋幙彐剐䍉⡅ㄴ㔱⤹_x0018_＀＀_x0018_＀＀_x0008_＀＀_x0001_＀＀_x0001_＀＀Ẹ㡑䀡嘊偉_x0012_剐幋彐剐䍉⡅ㄴ㔱⤸_x0018_＀＀_x0018_＀＀_x0008_＀＀_x0001_＀＀_x0001_＀＀䞮竡縔䁑嘉偉_x0013_䉉䍋偞偟䥒䕃㐨ㄱ㠵착_x0018_＀＀_x0018_＀＀_x0008_＀＀_x0001_＀＀_x0001_＀＀＀＀＀＀＀＀䁈嘉偉)䉈乁䥞彃卅䥔䅍䕔䔨卐䴬䅅ⱎ乁ⱎ〲㌱㐬ㄱ㠵착_x0018_＀＀_x0018_＀＀_x0008_＀＀_x0001_＀＀_x0001_＀＀ﷴ磔⛩㿥䃤偉_x0013_䍆乂偞偟䥒䕃㐨㜰㌹착_x0018_＀＀_x0018_＀＀_x0008_＀＀_x0001_＀＀_x0001_＀＀＀＀＀＀퀀䁻䃤偉_x0013_䵕児偞偟䥒䕃㐨㜰㌹착_x0018_＀＀_x0018_＀＀_x0008_＀＀_x0001_＀＀_x0001_＀＀쳍쳌䳌䀣䃤偉_x0014_䉕䥓䙞彇剐䍉⡅〴〹⤹_x0018_＀＀_x0018_＀＀_x0008_＀＀_x0001_＀＀_x0001_＀＀롑䔞䀼噝偊_x001A_剆幃彐䭍彔䅖⡌ㄴ㔱ⰹⰬ单⥄_x0018_＀＀_x0018_＀＀_x0008_＀＀_x0001_＀＀_x0001_＀＀鮦⃄䂰䃤偉_x0013_乆䝆偞偟䥒䕃㐨㜰㌹착_x0018_＀＀_x0018_＀＀_x0008_＀＀_x0001_＀＀_x0001_＀＀䞮竡⸔䀥嘉偉_x001A_䡆幎彐䭍彔䅖⡌ㄴ㔱ⰸⰬ单⥄_x0018_＀＀_x0018_＀＀_x0008_＀＀_x0001_＀＀_x0001_＀＀뀡桲᷑䂢噢偊(䭂幕䍉䕟呓䵉呁⡅偅ⱓ䕍乁䄬乎㈬㄰ⰳㄴ㔱⤹_x0018_＀＀_x0018_＀＀_x0008_＀＀_x0001_＀＀_x0001_＀＀Й๖눭㿹噢偊)䉉䍋䥞彃卅䥔䅍䕔䔨卐䴬䅅ⱎ乁ⱎ〲㈱㐬ㄱ㤵착_x0018_＀＀_x0018_＀＀_x0008_＀＀_x0001_＀＀_x0001_＀＀_xDD2F_ؤ閁䀂嘉偉_x001A_呍幂彐䭍彔䅖⡌ㄴ㔱ⰸⰬ单⥄_x0018_＀＀_x0018_＀＀_x0008_＀＀_x0001_＀＀_x0001_＀＀閁譃㿜䃆嘋偉)䉂乃䥞彃卅䥔䅍䕔䔨卐䴬䅅ⱎ乁ⱎ〲㌱㐬ㄱ㠵착_x0018_＀＀_x0018_＀＀_x0008_＀＀_x0001_＀＀_x0001_＀＀탥_xDB22_绹㿰噟偊_x0013_呗䍆偞偟䥒䕃㐨ㄱ㤵착_x0018_＀＀_x0018_＀＀_x0008_＀＀_x0001_＀＀_x0001_＀＀ਾꏗ_xDD70_䁂嘊偉_x0013_偂䡆偞偟䥒䕃㐨㤰㤰착_x0018_＀＀_x0018_＀＀_x0008_＀＀_x0001_＀＀_x0001_＀＀尨슏䀟嘊偉(䉗幓䍉䕟呓䵉呁⡅偅ⱓ䕍乁䄬乎㈬㄰ⰳㄴ㔱⤸_x0018_＀＀_x0018_＀＀_x0008_＀＀_x0001_＀＀_x0001_＀＀⋐率㿼</t>
        </r>
      </text>
    </comment>
  </commentList>
</comments>
</file>

<file path=xl/comments2.xml><?xml version="1.0" encoding="utf-8"?>
<comments xmlns="http://schemas.openxmlformats.org/spreadsheetml/2006/main">
  <authors>
    <author>Ryan MacGregor</author>
  </authors>
  <commentList>
    <comment ref="F11" authorId="0" shapeId="0">
      <text>
        <r>
          <rPr>
            <b/>
            <sz val="9"/>
            <color indexed="81"/>
            <rFont val="Tahoma"/>
            <family val="2"/>
          </rPr>
          <t>Macabacus:</t>
        </r>
        <r>
          <rPr>
            <sz val="9"/>
            <color indexed="81"/>
            <rFont val="Tahoma"/>
            <family val="2"/>
          </rPr>
          <t xml:space="preserve">
Typical values range from 5% to 7%, depending on the size of the IPO.  Smaller IPOs generally have larger underwriting discounts.</t>
        </r>
      </text>
    </comment>
    <comment ref="F12" authorId="0" shapeId="0">
      <text>
        <r>
          <rPr>
            <b/>
            <sz val="9"/>
            <color indexed="81"/>
            <rFont val="Tahoma"/>
            <family val="2"/>
          </rPr>
          <t>Macabacus:</t>
        </r>
        <r>
          <rPr>
            <sz val="9"/>
            <color indexed="81"/>
            <rFont val="Tahoma"/>
            <family val="2"/>
          </rPr>
          <t xml:space="preserve">
Typical value is 15%, but may range from 10% to 20% depending on the strength of the Issuer and market conditions.</t>
        </r>
      </text>
    </comment>
    <comment ref="F15" authorId="0" shapeId="0">
      <text>
        <r>
          <rPr>
            <b/>
            <sz val="9"/>
            <color indexed="81"/>
            <rFont val="Tahoma"/>
            <family val="2"/>
          </rPr>
          <t>Macabacus:</t>
        </r>
        <r>
          <rPr>
            <sz val="9"/>
            <color indexed="81"/>
            <rFont val="Tahoma"/>
            <family val="2"/>
          </rPr>
          <t xml:space="preserve">
Typical value is 15%.</t>
        </r>
      </text>
    </comment>
    <comment ref="F16" authorId="0" shapeId="0">
      <text>
        <r>
          <rPr>
            <b/>
            <sz val="9"/>
            <color indexed="81"/>
            <rFont val="Tahoma"/>
            <family val="2"/>
          </rPr>
          <t>Macabacus:</t>
        </r>
        <r>
          <rPr>
            <sz val="9"/>
            <color indexed="81"/>
            <rFont val="Tahoma"/>
            <family val="2"/>
          </rPr>
          <t xml:space="preserve">
Ranges from 0% to 100%.</t>
        </r>
      </text>
    </comment>
    <comment ref="F17" authorId="0" shapeId="0">
      <text>
        <r>
          <rPr>
            <b/>
            <sz val="9"/>
            <color indexed="81"/>
            <rFont val="Tahoma"/>
            <family val="2"/>
          </rPr>
          <t>Macacbacus:</t>
        </r>
        <r>
          <rPr>
            <sz val="9"/>
            <color indexed="81"/>
            <rFont val="Tahoma"/>
            <family val="2"/>
          </rPr>
          <t xml:space="preserve">
The greenshoe, or simply "shoe", is exercised at the option of the underwriter(s).</t>
        </r>
      </text>
    </comment>
    <comment ref="F40" authorId="0" shapeId="0">
      <text>
        <r>
          <rPr>
            <b/>
            <sz val="9"/>
            <color indexed="81"/>
            <rFont val="Tahoma"/>
            <family val="2"/>
          </rPr>
          <t>Macabacus:</t>
        </r>
        <r>
          <rPr>
            <sz val="9"/>
            <color indexed="81"/>
            <rFont val="Tahoma"/>
            <family val="2"/>
          </rPr>
          <t xml:space="preserve">
Projected earnings sourced from either the Issuer or a bookrunner's research analyst.</t>
        </r>
      </text>
    </comment>
    <comment ref="F41" authorId="0" shapeId="0">
      <text>
        <r>
          <rPr>
            <b/>
            <sz val="9"/>
            <color indexed="81"/>
            <rFont val="Tahoma"/>
            <family val="2"/>
          </rPr>
          <t>Macabacus:</t>
        </r>
        <r>
          <rPr>
            <sz val="9"/>
            <color indexed="81"/>
            <rFont val="Tahoma"/>
            <family val="2"/>
          </rPr>
          <t xml:space="preserve">
Projected earnings sourced from either the Issuer or a bookrunner's research analyst.</t>
        </r>
      </text>
    </comment>
  </commentList>
</comments>
</file>

<file path=xl/comments3.xml><?xml version="1.0" encoding="utf-8"?>
<comments xmlns="http://schemas.openxmlformats.org/spreadsheetml/2006/main">
  <authors>
    <author>Ryan MacGregor</author>
  </authors>
  <commentList>
    <comment ref="B13" authorId="0" shapeId="0">
      <text>
        <r>
          <rPr>
            <b/>
            <sz val="9"/>
            <color indexed="81"/>
            <rFont val="Tahoma"/>
            <family val="2"/>
          </rPr>
          <t>Macabacus:</t>
        </r>
        <r>
          <rPr>
            <sz val="9"/>
            <color indexed="81"/>
            <rFont val="Tahoma"/>
            <family val="2"/>
          </rPr>
          <t xml:space="preserve">
Treasury stock method.</t>
        </r>
      </text>
    </comment>
  </commentList>
</comments>
</file>

<file path=xl/sharedStrings.xml><?xml version="1.0" encoding="utf-8"?>
<sst xmlns="http://schemas.openxmlformats.org/spreadsheetml/2006/main" count="86" uniqueCount="79">
  <si>
    <t>This sheet contains Factset binary data for use with this workbook's =FDS codes.  Modifying the worksheet's contents may damage the workbook's =FDS functionality.</t>
  </si>
  <si>
    <t>IPO valuation</t>
  </si>
  <si>
    <t>IPO discount (%)</t>
  </si>
  <si>
    <t>( + ) Primary shares issued</t>
  </si>
  <si>
    <t>( + ) IPO discount</t>
  </si>
  <si>
    <t>2013E earnings</t>
  </si>
  <si>
    <t>2014E earnings</t>
  </si>
  <si>
    <t>Primary shares issued</t>
  </si>
  <si>
    <t>Secondary shares sold</t>
  </si>
  <si>
    <t>Total shares issued/sold</t>
  </si>
  <si>
    <t>Gross primary proceeds</t>
  </si>
  <si>
    <t>Net primary proceeds</t>
  </si>
  <si>
    <t>Options strike price</t>
  </si>
  <si>
    <t>Options outstanding</t>
  </si>
  <si>
    <t>(shares in millions)</t>
  </si>
  <si>
    <t>Class A common stock</t>
  </si>
  <si>
    <t>Class B common stock</t>
  </si>
  <si>
    <t>Total basic shares outstanding</t>
  </si>
  <si>
    <t>( + ) Stock options</t>
  </si>
  <si>
    <t>Shares</t>
  </si>
  <si>
    <t>High</t>
  </si>
  <si>
    <t>Low</t>
  </si>
  <si>
    <t>Midpoint</t>
  </si>
  <si>
    <t>FINRA Filing fee</t>
  </si>
  <si>
    <t>Nasdaq listing fees and expenses</t>
  </si>
  <si>
    <t>Transfer agent and registrar fees and expenses</t>
  </si>
  <si>
    <t>Printing fees and expenses</t>
  </si>
  <si>
    <t>Legal fees and expenses</t>
  </si>
  <si>
    <t>Accounting fees and expenses</t>
  </si>
  <si>
    <t>Miscellaneous</t>
  </si>
  <si>
    <t>Total expenses</t>
  </si>
  <si>
    <t>Fully diluted shares outstanding</t>
  </si>
  <si>
    <t>Fully distributed ("FD") valuation</t>
  </si>
  <si>
    <t>Filing Range</t>
  </si>
  <si>
    <t>Offering price per share</t>
  </si>
  <si>
    <t>Total offering size</t>
  </si>
  <si>
    <t>( – ) Expenses</t>
  </si>
  <si>
    <t>IPO price per share</t>
  </si>
  <si>
    <t>( – ) Underwriting discount</t>
  </si>
  <si>
    <t>Net IPO price per share</t>
  </si>
  <si>
    <t>Offering expenses</t>
  </si>
  <si>
    <t>Underwriting discount</t>
  </si>
  <si>
    <t>Shares offered</t>
  </si>
  <si>
    <t>Underwriting discount (%)</t>
  </si>
  <si>
    <t>IPO Discount &amp; Fees</t>
  </si>
  <si>
    <t>Valuation</t>
  </si>
  <si>
    <t>IPO Proceeds</t>
  </si>
  <si>
    <t>Market capitalization</t>
  </si>
  <si>
    <t>Pro forma shares</t>
  </si>
  <si>
    <t>($ and shares in millions, except per share amounts)</t>
  </si>
  <si>
    <t>Overallotment</t>
  </si>
  <si>
    <t>Base deal shares issued/sold</t>
  </si>
  <si>
    <t>Overallotment – primary shares</t>
  </si>
  <si>
    <t>Overallotment – secondary shares</t>
  </si>
  <si>
    <t>Overallotment ("Greenshoe") (%)</t>
  </si>
  <si>
    <t>Implied 2013 IPO P/E multiple</t>
  </si>
  <si>
    <t>Implied 2013 FD P/E multiple</t>
  </si>
  <si>
    <t>Implied 2014 IPO P/E multiple</t>
  </si>
  <si>
    <t>Implied 2014 FD P/E multiple</t>
  </si>
  <si>
    <t>Existing Issuer FDSO</t>
  </si>
  <si>
    <t>Pro forma Issuer FDSO</t>
  </si>
  <si>
    <t>Exercise shoe?</t>
  </si>
  <si>
    <t>Offering Size</t>
  </si>
  <si>
    <t>Base deal</t>
  </si>
  <si>
    <t>( + ) Overallotment</t>
  </si>
  <si>
    <t>Total overallotment</t>
  </si>
  <si>
    <t>Issuer 2013E earnings</t>
  </si>
  <si>
    <t>Issuer 2014E earnings</t>
  </si>
  <si>
    <t>Filing range – low</t>
  </si>
  <si>
    <t>Filing range – high</t>
  </si>
  <si>
    <t>IPO Calculations</t>
  </si>
  <si>
    <t>IPO Assumptions</t>
  </si>
  <si>
    <t>Value</t>
  </si>
  <si>
    <t>Potential Range of IPO Prices</t>
  </si>
  <si>
    <t>Issuer Assumptions</t>
  </si>
  <si>
    <t>SEC registration fee</t>
  </si>
  <si>
    <t>Primary allocation (%)</t>
  </si>
  <si>
    <t>Fully Diluted Share Count ("FDSO") Matrix</t>
  </si>
  <si>
    <t>IPO fees &amp;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</si>
</sst>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#,##0.0_)_%;_(\(#,##0.0\)_%;_(&quot;–&quot;_)_%;@_(_%"/>
    <numFmt numFmtId="165" formatCode="_(#,##0.00_)_%;_(\(#,##0.00\)_%;_(&quot;–&quot;_)_%;@_(_%"/>
    <numFmt numFmtId="166" formatCode="_(&quot;$&quot;#,##0.00_)_%;_(\(&quot;$&quot;#,##0.00\)_%;_(&quot;–&quot;_)_%;@_(_%"/>
    <numFmt numFmtId="167" formatCode="_(0.0%_);\(0.0%\);_(&quot;–&quot;_)_%;@_(_%"/>
    <numFmt numFmtId="168" formatCode="_(#,##0.000_)_%;_(\(#,##0.000\)_%;_(&quot;–&quot;_)_%;@_(_%"/>
    <numFmt numFmtId="169" formatCode="_(&quot;$&quot;#,##0.0_)_%;_(\(&quot;$&quot;#,##0.0\)_%;_(&quot;–&quot;_)_%;@_(_%"/>
    <numFmt numFmtId="170" formatCode="_(0.0\x_)_);_(\(0.0\x\)_';_(&quot;–&quot;_)_%;@_(_%"/>
    <numFmt numFmtId="171" formatCode="&quot;Yes&quot;_)_%;;&quot;No&quot;_)_%"/>
  </numFmts>
  <fonts count="37">
    <font>
      <sz val="10"/>
      <color indexed="16"/>
      <name val="Credit Suisse Type Roman"/>
      <family val="2"/>
    </font>
    <font>
      <sz val="8"/>
      <name val="Credit Suisse Type Roman"/>
      <family val="2"/>
    </font>
    <font>
      <b/>
      <sz val="10"/>
      <color indexed="16"/>
      <name val="Credit Suisse Type Roman"/>
      <family val="2"/>
    </font>
    <font>
      <sz val="10"/>
      <color indexed="16"/>
      <name val="Credit Suisse Type Roman"/>
      <family val="2"/>
    </font>
    <font>
      <sz val="10"/>
      <name val="Times New Roman"/>
      <family val="1"/>
    </font>
    <font>
      <sz val="18"/>
      <name val="Helvetica-Black"/>
      <family val="2"/>
    </font>
    <font>
      <i/>
      <sz val="14"/>
      <name val="Palatino"/>
      <family val="1"/>
    </font>
    <font>
      <sz val="10"/>
      <color indexed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0"/>
      <color indexed="16"/>
      <name val="Calibri"/>
      <family val="2"/>
      <scheme val="minor"/>
    </font>
    <font>
      <sz val="10"/>
      <color indexed="16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8"/>
      <color indexed="1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indexed="16"/>
      <name val="Calibri"/>
      <family val="2"/>
      <scheme val="minor"/>
    </font>
    <font>
      <sz val="10"/>
      <color indexed="9"/>
      <name val="Calibri"/>
      <family val="2"/>
      <scheme val="minor"/>
    </font>
    <font>
      <b/>
      <sz val="12"/>
      <color indexed="16"/>
      <name val="Calibri"/>
      <family val="2"/>
      <scheme val="minor"/>
    </font>
    <font>
      <b/>
      <i/>
      <sz val="8"/>
      <color rgb="FF0000FF"/>
      <name val="Calibri"/>
      <family val="2"/>
      <scheme val="minor"/>
    </font>
    <font>
      <b/>
      <sz val="10"/>
      <color rgb="FF003868"/>
      <name val="Calibri"/>
      <family val="2"/>
      <scheme val="minor"/>
    </font>
    <font>
      <i/>
      <sz val="8"/>
      <color indexed="16"/>
      <name val="Calibri"/>
      <family val="2"/>
      <scheme val="minor"/>
    </font>
    <font>
      <sz val="10"/>
      <color rgb="FF008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rgb="FFF5F1EF"/>
        <bgColor indexed="64"/>
      </patternFill>
    </fill>
    <fill>
      <patternFill patternType="solid">
        <fgColor rgb="FFDDE4E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10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B2C2D1"/>
      </left>
      <right/>
      <top style="thin">
        <color rgb="FFB2C2D1"/>
      </top>
      <bottom style="thin">
        <color rgb="FFB2C2D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rgb="FFB2C2D1"/>
      </top>
      <bottom style="thin">
        <color rgb="FFB2C2D1"/>
      </bottom>
      <diagonal/>
    </border>
    <border>
      <left/>
      <right/>
      <top/>
      <bottom style="medium">
        <color rgb="FF255B89"/>
      </bottom>
      <diagonal/>
    </border>
    <border>
      <left/>
      <right/>
      <top/>
      <bottom style="thin">
        <color rgb="FF255B89"/>
      </bottom>
      <diagonal/>
    </border>
    <border>
      <left/>
      <right/>
      <top style="hair">
        <color rgb="FF000000"/>
      </top>
      <bottom/>
      <diagonal/>
    </border>
    <border>
      <left/>
      <right style="thin">
        <color rgb="FFB2C2D1"/>
      </right>
      <top style="thin">
        <color rgb="FFB2C2D1"/>
      </top>
      <bottom style="thin">
        <color rgb="FFB2C2D1"/>
      </bottom>
      <diagonal/>
    </border>
    <border>
      <left/>
      <right/>
      <top style="hair">
        <color rgb="FF000000"/>
      </top>
      <bottom style="hair">
        <color rgb="FF000000"/>
      </bottom>
      <diagonal/>
    </border>
  </borders>
  <cellStyleXfs count="47">
    <xf numFmtId="0" fontId="0" fillId="0" borderId="0"/>
    <xf numFmtId="0" fontId="8" fillId="2" borderId="0" applyNumberFormat="0" applyBorder="0" applyAlignment="0" applyProtection="0"/>
    <xf numFmtId="0" fontId="8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10" borderId="0" applyNumberFormat="0" applyBorder="0" applyAlignment="0" applyProtection="0"/>
    <xf numFmtId="0" fontId="8" fillId="9" borderId="0" applyNumberFormat="0" applyBorder="0" applyAlignment="0" applyProtection="0"/>
    <xf numFmtId="0" fontId="8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11" borderId="0" applyNumberFormat="0" applyBorder="0" applyAlignment="0" applyProtection="0"/>
    <xf numFmtId="0" fontId="8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5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10" fillId="4" borderId="0" applyNumberFormat="0" applyBorder="0" applyAlignment="0" applyProtection="0"/>
    <xf numFmtId="0" fontId="11" fillId="22" borderId="2" applyNumberFormat="0" applyAlignment="0" applyProtection="0"/>
    <xf numFmtId="0" fontId="12" fillId="23" borderId="3" applyNumberFormat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0" borderId="4" applyNumberFormat="0" applyFill="0" applyAlignment="0" applyProtection="0"/>
    <xf numFmtId="0" fontId="5" fillId="0" borderId="0" applyProtection="0">
      <alignment horizontal="left"/>
    </xf>
    <xf numFmtId="0" fontId="6" fillId="0" borderId="0" applyProtection="0">
      <alignment horizontal="left"/>
    </xf>
    <xf numFmtId="0" fontId="16" fillId="0" borderId="0" applyNumberFormat="0" applyFill="0" applyBorder="0" applyAlignment="0" applyProtection="0"/>
    <xf numFmtId="1" fontId="7" fillId="0" borderId="0" applyNumberFormat="0">
      <alignment horizontal="right"/>
    </xf>
    <xf numFmtId="0" fontId="17" fillId="0" borderId="5" applyNumberFormat="0" applyFill="0" applyAlignment="0" applyProtection="0"/>
    <xf numFmtId="0" fontId="18" fillId="12" borderId="0" applyNumberFormat="0" applyBorder="0" applyAlignment="0" applyProtection="0"/>
    <xf numFmtId="0" fontId="8" fillId="7" borderId="6" applyNumberFormat="0" applyFont="0" applyAlignment="0" applyProtection="0"/>
    <xf numFmtId="0" fontId="19" fillId="22" borderId="7" applyNumberFormat="0" applyAlignment="0" applyProtection="0"/>
    <xf numFmtId="0" fontId="20" fillId="0" borderId="0" applyNumberFormat="0" applyFill="0" applyBorder="0" applyAlignment="0" applyProtection="0"/>
    <xf numFmtId="37" fontId="4" fillId="0" borderId="8"/>
    <xf numFmtId="0" fontId="21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75">
    <xf numFmtId="0" fontId="0" fillId="0" borderId="0" xfId="0"/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5" fillId="0" borderId="0" xfId="0" applyFont="1" applyBorder="1" applyAlignment="1">
      <alignment vertical="center"/>
    </xf>
    <xf numFmtId="0" fontId="25" fillId="0" borderId="17" xfId="0" applyFont="1" applyFill="1" applyBorder="1" applyAlignment="1">
      <alignment vertical="center"/>
    </xf>
    <xf numFmtId="168" fontId="25" fillId="0" borderId="17" xfId="0" applyNumberFormat="1" applyFont="1" applyFill="1" applyBorder="1" applyAlignment="1">
      <alignment vertical="center"/>
    </xf>
    <xf numFmtId="0" fontId="25" fillId="0" borderId="13" xfId="0" applyFont="1" applyBorder="1" applyAlignment="1">
      <alignment vertical="center"/>
    </xf>
    <xf numFmtId="166" fontId="25" fillId="0" borderId="13" xfId="0" applyNumberFormat="1" applyFont="1" applyBorder="1" applyAlignment="1">
      <alignment vertical="center"/>
    </xf>
    <xf numFmtId="169" fontId="25" fillId="0" borderId="13" xfId="0" applyNumberFormat="1" applyFont="1" applyBorder="1" applyAlignment="1">
      <alignment vertical="center"/>
    </xf>
    <xf numFmtId="169" fontId="25" fillId="0" borderId="0" xfId="0" applyNumberFormat="1" applyFont="1" applyAlignment="1">
      <alignment vertical="center"/>
    </xf>
    <xf numFmtId="164" fontId="25" fillId="0" borderId="0" xfId="0" applyNumberFormat="1" applyFont="1" applyAlignment="1">
      <alignment vertical="center"/>
    </xf>
    <xf numFmtId="0" fontId="27" fillId="0" borderId="16" xfId="0" applyFont="1" applyFill="1" applyBorder="1" applyAlignment="1">
      <alignment horizontal="centerContinuous" vertical="center"/>
    </xf>
    <xf numFmtId="0" fontId="28" fillId="0" borderId="15" xfId="0" applyFont="1" applyFill="1" applyBorder="1" applyAlignment="1">
      <alignment vertical="center"/>
    </xf>
    <xf numFmtId="0" fontId="27" fillId="0" borderId="9" xfId="0" applyFont="1" applyFill="1" applyBorder="1" applyAlignment="1">
      <alignment horizontal="justify" vertical="center"/>
    </xf>
    <xf numFmtId="0" fontId="27" fillId="0" borderId="9" xfId="0" applyFont="1" applyFill="1" applyBorder="1" applyAlignment="1">
      <alignment horizontal="center" vertical="center"/>
    </xf>
    <xf numFmtId="169" fontId="29" fillId="0" borderId="0" xfId="0" applyNumberFormat="1" applyFont="1" applyAlignment="1">
      <alignment vertical="center"/>
    </xf>
    <xf numFmtId="164" fontId="29" fillId="0" borderId="0" xfId="0" applyNumberFormat="1" applyFont="1" applyAlignment="1">
      <alignment vertical="center"/>
    </xf>
    <xf numFmtId="169" fontId="29" fillId="0" borderId="13" xfId="0" applyNumberFormat="1" applyFont="1" applyBorder="1" applyAlignment="1">
      <alignment vertical="center"/>
    </xf>
    <xf numFmtId="168" fontId="25" fillId="0" borderId="0" xfId="0" applyNumberFormat="1" applyFont="1" applyAlignment="1">
      <alignment vertical="center"/>
    </xf>
    <xf numFmtId="0" fontId="25" fillId="25" borderId="14" xfId="0" applyFont="1" applyFill="1" applyBorder="1" applyAlignment="1">
      <alignment vertical="center"/>
    </xf>
    <xf numFmtId="0" fontId="25" fillId="25" borderId="18" xfId="0" applyFont="1" applyFill="1" applyBorder="1" applyAlignment="1">
      <alignment vertical="center"/>
    </xf>
    <xf numFmtId="0" fontId="30" fillId="25" borderId="12" xfId="0" applyFont="1" applyFill="1" applyBorder="1" applyAlignment="1">
      <alignment vertical="center"/>
    </xf>
    <xf numFmtId="168" fontId="25" fillId="0" borderId="13" xfId="0" applyNumberFormat="1" applyFont="1" applyBorder="1" applyAlignment="1">
      <alignment vertical="center"/>
    </xf>
    <xf numFmtId="0" fontId="25" fillId="0" borderId="11" xfId="0" applyFont="1" applyFill="1" applyBorder="1" applyAlignment="1">
      <alignment vertical="center"/>
    </xf>
    <xf numFmtId="0" fontId="25" fillId="0" borderId="19" xfId="0" applyFont="1" applyBorder="1" applyAlignment="1">
      <alignment vertical="center"/>
    </xf>
    <xf numFmtId="168" fontId="25" fillId="0" borderId="19" xfId="0" applyNumberFormat="1" applyFont="1" applyBorder="1" applyAlignment="1">
      <alignment vertical="center"/>
    </xf>
    <xf numFmtId="0" fontId="25" fillId="0" borderId="0" xfId="0" applyFont="1" applyFill="1" applyAlignment="1">
      <alignment vertical="center"/>
    </xf>
    <xf numFmtId="0" fontId="25" fillId="0" borderId="13" xfId="0" applyFont="1" applyFill="1" applyBorder="1" applyAlignment="1">
      <alignment vertical="center"/>
    </xf>
    <xf numFmtId="169" fontId="25" fillId="0" borderId="13" xfId="0" applyNumberFormat="1" applyFont="1" applyFill="1" applyBorder="1" applyAlignment="1">
      <alignment vertical="center"/>
    </xf>
    <xf numFmtId="169" fontId="26" fillId="0" borderId="0" xfId="0" applyNumberFormat="1" applyFont="1" applyFill="1" applyAlignment="1">
      <alignment vertical="center"/>
    </xf>
    <xf numFmtId="164" fontId="26" fillId="0" borderId="0" xfId="0" applyNumberFormat="1" applyFont="1" applyFill="1" applyAlignment="1">
      <alignment vertical="center"/>
    </xf>
    <xf numFmtId="0" fontId="30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25" fillId="0" borderId="0" xfId="0" applyFont="1" applyFill="1" applyBorder="1" applyAlignment="1">
      <alignment vertical="center"/>
    </xf>
    <xf numFmtId="166" fontId="26" fillId="0" borderId="0" xfId="0" applyNumberFormat="1" applyFont="1" applyAlignment="1">
      <alignment horizontal="right" vertical="center"/>
    </xf>
    <xf numFmtId="168" fontId="26" fillId="0" borderId="0" xfId="0" applyNumberFormat="1" applyFont="1" applyAlignment="1">
      <alignment horizontal="right" vertical="center"/>
    </xf>
    <xf numFmtId="0" fontId="33" fillId="0" borderId="0" xfId="0" applyFont="1" applyAlignment="1">
      <alignment horizontal="center" vertical="center"/>
    </xf>
    <xf numFmtId="0" fontId="30" fillId="0" borderId="15" xfId="0" applyFont="1" applyFill="1" applyBorder="1" applyAlignment="1">
      <alignment vertical="center"/>
    </xf>
    <xf numFmtId="166" fontId="34" fillId="0" borderId="15" xfId="0" applyNumberFormat="1" applyFont="1" applyFill="1" applyBorder="1" applyAlignment="1">
      <alignment horizontal="right" vertical="center"/>
    </xf>
    <xf numFmtId="0" fontId="35" fillId="0" borderId="0" xfId="0" applyFont="1" applyAlignment="1">
      <alignment horizontal="center" vertical="center"/>
    </xf>
    <xf numFmtId="0" fontId="25" fillId="0" borderId="0" xfId="0" applyFont="1" applyBorder="1" applyAlignment="1">
      <alignment horizontal="right" vertical="center"/>
    </xf>
    <xf numFmtId="168" fontId="29" fillId="0" borderId="0" xfId="0" applyNumberFormat="1" applyFont="1" applyAlignment="1">
      <alignment horizontal="right" vertical="center"/>
    </xf>
    <xf numFmtId="168" fontId="29" fillId="0" borderId="0" xfId="0" applyNumberFormat="1" applyFont="1" applyFill="1" applyAlignment="1">
      <alignment horizontal="right" vertical="center"/>
    </xf>
    <xf numFmtId="0" fontId="25" fillId="0" borderId="10" xfId="0" applyFont="1" applyBorder="1" applyAlignment="1">
      <alignment vertical="center"/>
    </xf>
    <xf numFmtId="168" fontId="25" fillId="0" borderId="10" xfId="0" applyNumberFormat="1" applyFont="1" applyBorder="1" applyAlignment="1">
      <alignment horizontal="right" vertical="center"/>
    </xf>
    <xf numFmtId="168" fontId="25" fillId="0" borderId="10" xfId="0" applyNumberFormat="1" applyFont="1" applyFill="1" applyBorder="1" applyAlignment="1">
      <alignment horizontal="right" vertical="center"/>
    </xf>
    <xf numFmtId="0" fontId="30" fillId="24" borderId="1" xfId="0" applyFont="1" applyFill="1" applyBorder="1" applyAlignment="1">
      <alignment vertical="center"/>
    </xf>
    <xf numFmtId="168" fontId="30" fillId="24" borderId="1" xfId="0" applyNumberFormat="1" applyFont="1" applyFill="1" applyBorder="1" applyAlignment="1">
      <alignment horizontal="right" vertical="center"/>
    </xf>
    <xf numFmtId="168" fontId="26" fillId="0" borderId="0" xfId="0" applyNumberFormat="1" applyFont="1" applyFill="1" applyAlignment="1">
      <alignment vertical="center"/>
    </xf>
    <xf numFmtId="168" fontId="26" fillId="0" borderId="0" xfId="0" applyNumberFormat="1" applyFont="1" applyFill="1" applyBorder="1" applyAlignment="1">
      <alignment vertical="center"/>
    </xf>
    <xf numFmtId="167" fontId="26" fillId="0" borderId="0" xfId="0" applyNumberFormat="1" applyFont="1" applyFill="1" applyAlignment="1">
      <alignment vertical="center"/>
    </xf>
    <xf numFmtId="171" fontId="31" fillId="0" borderId="0" xfId="0" applyNumberFormat="1" applyFont="1" applyFill="1" applyAlignment="1">
      <alignment horizontal="right" vertical="center"/>
    </xf>
    <xf numFmtId="0" fontId="32" fillId="0" borderId="0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168" fontId="36" fillId="0" borderId="0" xfId="0" applyNumberFormat="1" applyFont="1" applyAlignment="1">
      <alignment horizontal="right" vertical="center"/>
    </xf>
    <xf numFmtId="166" fontId="36" fillId="0" borderId="0" xfId="0" applyNumberFormat="1" applyFont="1" applyAlignment="1">
      <alignment horizontal="right" vertical="center"/>
    </xf>
    <xf numFmtId="168" fontId="36" fillId="0" borderId="0" xfId="0" applyNumberFormat="1" applyFont="1" applyAlignment="1">
      <alignment vertical="center"/>
    </xf>
    <xf numFmtId="165" fontId="36" fillId="0" borderId="0" xfId="0" applyNumberFormat="1" applyFont="1" applyAlignment="1">
      <alignment vertical="center"/>
    </xf>
    <xf numFmtId="169" fontId="36" fillId="0" borderId="0" xfId="0" applyNumberFormat="1" applyFont="1" applyFill="1" applyAlignment="1">
      <alignment vertical="center"/>
    </xf>
    <xf numFmtId="164" fontId="36" fillId="0" borderId="0" xfId="0" applyNumberFormat="1" applyFont="1" applyFill="1" applyAlignment="1">
      <alignment vertical="center"/>
    </xf>
    <xf numFmtId="169" fontId="36" fillId="0" borderId="13" xfId="0" applyNumberFormat="1" applyFont="1" applyFill="1" applyBorder="1" applyAlignment="1">
      <alignment vertical="center"/>
    </xf>
    <xf numFmtId="169" fontId="36" fillId="0" borderId="0" xfId="0" applyNumberFormat="1" applyFont="1" applyFill="1" applyAlignment="1">
      <alignment vertical="center"/>
    </xf>
    <xf numFmtId="169" fontId="29" fillId="0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170" fontId="25" fillId="0" borderId="0" xfId="0" applyNumberFormat="1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27" fillId="0" borderId="9" xfId="0" applyFont="1" applyFill="1" applyBorder="1" applyAlignment="1">
      <alignment vertical="center"/>
    </xf>
    <xf numFmtId="166" fontId="36" fillId="0" borderId="0" xfId="0" applyNumberFormat="1" applyFont="1" applyFill="1" applyAlignment="1">
      <alignment vertical="center"/>
    </xf>
    <xf numFmtId="166" fontId="29" fillId="0" borderId="0" xfId="0" applyNumberFormat="1" applyFont="1" applyFill="1" applyAlignment="1">
      <alignment vertical="center"/>
    </xf>
    <xf numFmtId="0" fontId="25" fillId="0" borderId="16" xfId="0" applyFont="1" applyFill="1" applyBorder="1" applyAlignment="1">
      <alignment horizontal="centerContinuous" vertical="center"/>
    </xf>
    <xf numFmtId="166" fontId="26" fillId="0" borderId="0" xfId="0" applyNumberFormat="1" applyFont="1" applyFill="1" applyAlignment="1">
      <alignment vertical="center"/>
    </xf>
    <xf numFmtId="169" fontId="26" fillId="0" borderId="0" xfId="0" applyNumberFormat="1" applyFont="1" applyFill="1" applyAlignment="1">
      <alignment vertical="center"/>
    </xf>
  </cellXfs>
  <cellStyles count="47">
    <cellStyle name="20% - Accent1" xfId="1" builtinId="30" hidden="1" customBuiltin="1"/>
    <cellStyle name="20% - Accent2" xfId="2" builtinId="34" hidden="1" customBuiltin="1"/>
    <cellStyle name="20% - Accent3" xfId="3" builtinId="38" hidden="1" customBuiltin="1"/>
    <cellStyle name="20% - Accent4" xfId="4" builtinId="42" hidden="1" customBuiltin="1"/>
    <cellStyle name="20% - Accent5" xfId="5" builtinId="46" hidden="1" customBuiltin="1"/>
    <cellStyle name="20% - Accent6" xfId="6" builtinId="50" hidden="1" customBuiltin="1"/>
    <cellStyle name="40% - Accent1" xfId="7" builtinId="31" hidden="1" customBuiltin="1"/>
    <cellStyle name="40% - Accent2" xfId="8" builtinId="35" hidden="1" customBuiltin="1"/>
    <cellStyle name="40% - Accent3" xfId="9" builtinId="39" hidden="1" customBuiltin="1"/>
    <cellStyle name="40% - Accent4" xfId="10" builtinId="43" hidden="1" customBuiltin="1"/>
    <cellStyle name="40% - Accent5" xfId="11" builtinId="47" hidden="1" customBuiltin="1"/>
    <cellStyle name="40% - Accent6" xfId="12" builtinId="51" hidden="1" customBuiltin="1"/>
    <cellStyle name="60% - Accent1" xfId="13" builtinId="32" hidden="1" customBuiltin="1"/>
    <cellStyle name="60% - Accent2" xfId="14" builtinId="36" hidden="1" customBuiltin="1"/>
    <cellStyle name="60% - Accent3" xfId="15" builtinId="40" hidden="1" customBuiltin="1"/>
    <cellStyle name="60% - Accent4" xfId="16" builtinId="44" hidden="1" customBuiltin="1"/>
    <cellStyle name="60% - Accent5" xfId="17" builtinId="48" hidden="1" customBuiltin="1"/>
    <cellStyle name="60% - Accent6" xfId="18" builtinId="52" hidden="1" customBuiltin="1"/>
    <cellStyle name="Accent1" xfId="19" builtinId="29" hidden="1" customBuiltin="1"/>
    <cellStyle name="Accent2" xfId="20" builtinId="33" hidden="1" customBuiltin="1"/>
    <cellStyle name="Accent3" xfId="21" builtinId="37" hidden="1" customBuiltin="1"/>
    <cellStyle name="Accent4" xfId="22" builtinId="41" hidden="1" customBuiltin="1"/>
    <cellStyle name="Accent5" xfId="23" builtinId="45" hidden="1" customBuiltin="1"/>
    <cellStyle name="Accent6" xfId="24" builtinId="49" hidden="1" customBuiltin="1"/>
    <cellStyle name="Bad" xfId="25" builtinId="27" hidden="1" customBuiltin="1"/>
    <cellStyle name="Calculation" xfId="26" builtinId="22" hidden="1" customBuiltin="1"/>
    <cellStyle name="Check Cell" xfId="27" builtinId="23" hidden="1" customBuiltin="1"/>
    <cellStyle name="Comma" xfId="42" builtinId="3" hidden="1"/>
    <cellStyle name="Comma [0]" xfId="43" builtinId="6" hidden="1"/>
    <cellStyle name="Currency" xfId="44" builtinId="4" hidden="1"/>
    <cellStyle name="Currency [0]" xfId="45" builtinId="7" hidden="1"/>
    <cellStyle name="Explanatory Text" xfId="28" builtinId="53" hidden="1" customBuiltin="1"/>
    <cellStyle name="Good" xfId="29" builtinId="26" hidden="1" customBuiltin="1"/>
    <cellStyle name="Heading 1" xfId="30" builtinId="16" hidden="1" customBuiltin="1"/>
    <cellStyle name="Heading 2" xfId="31" builtinId="17" hidden="1" customBuiltin="1"/>
    <cellStyle name="Heading 3" xfId="32" builtinId="18" hidden="1" customBuiltin="1"/>
    <cellStyle name="Heading 4" xfId="33" builtinId="19" hidden="1" customBuiltin="1"/>
    <cellStyle name="Input" xfId="34" builtinId="20" hidden="1" customBuiltin="1"/>
    <cellStyle name="Linked Cell" xfId="35" builtinId="24" hidden="1" customBuiltin="1"/>
    <cellStyle name="Neutral" xfId="36" builtinId="28" hidden="1" customBuiltin="1"/>
    <cellStyle name="Normal" xfId="0" builtinId="0"/>
    <cellStyle name="Note" xfId="37" builtinId="10" hidden="1" customBuiltin="1"/>
    <cellStyle name="Output" xfId="38" builtinId="21" hidden="1" customBuiltin="1"/>
    <cellStyle name="Percent" xfId="46" builtinId="5" hidden="1"/>
    <cellStyle name="Title" xfId="39" builtinId="15" hidden="1" customBuiltin="1"/>
    <cellStyle name="Total" xfId="40" builtinId="25" hidden="1" customBuiltin="1"/>
    <cellStyle name="Warning Text" xfId="41" builtinId="11" hidden="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3868"/>
      <rgbColor rgb="000000FF"/>
      <rgbColor rgb="00255B89"/>
      <rgbColor rgb="00BE92C5"/>
      <rgbColor rgb="00F49C3E"/>
      <rgbColor rgb="00A7E0F4"/>
      <rgbColor rgb="007898B3"/>
      <rgbColor rgb="00A6CB95"/>
      <rgbColor rgb="00000000"/>
      <rgbColor rgb="0092499E"/>
      <rgbColor rgb="00C8C1BC"/>
      <rgbColor rgb="006CCBED"/>
      <rgbColor rgb="00FFD251"/>
      <rgbColor rgb="006AA94E"/>
      <rgbColor rgb="00DDE4E9"/>
      <rgbColor rgb="00C8C1BC"/>
      <rgbColor rgb="00255B89"/>
      <rgbColor rgb="0091867E"/>
      <rgbColor rgb="009D0E2D"/>
      <rgbColor rgb="006CCBED"/>
      <rgbColor rgb="0092499E"/>
      <rgbColor rgb="00C8C1BC"/>
      <rgbColor rgb="006AA94E"/>
      <rgbColor rgb="00F49C3E"/>
      <rgbColor rgb="007898B3"/>
      <rgbColor rgb="00DE7572"/>
      <rgbColor rgb="00A7E0F4"/>
      <rgbColor rgb="00BE92C5"/>
      <rgbColor rgb="00F8C48B"/>
      <rgbColor rgb="00A6CB95"/>
      <rgbColor rgb="00FFDD7D"/>
      <rgbColor rgb="00FFC726"/>
      <rgbColor rgb="00F8C48B"/>
      <rgbColor rgb="00C3DDB8"/>
      <rgbColor rgb="00D3B6D8"/>
      <rgbColor rgb="00C4EAF8"/>
      <rgbColor rgb="00FBD7B2"/>
      <rgbColor rgb="00B2C2D1"/>
      <rgbColor rgb="00FFE9A8"/>
      <rgbColor rgb="00EBB7B6"/>
      <rgbColor rgb="00F6B065"/>
      <rgbColor rgb="0088BA71"/>
      <rgbColor rgb="0089D5F1"/>
      <rgbColor rgb="00DE7572"/>
      <rgbColor rgb="00C23841"/>
      <rgbColor rgb="00FFFFFF"/>
      <rgbColor rgb="00FFC726"/>
      <rgbColor rgb="00E2F5FB"/>
      <rgbColor rgb="00E3DFDB"/>
      <rgbColor rgb="00A86DB1"/>
      <rgbColor rgb="00F5F1EF"/>
      <rgbColor rgb="00FFFFFF"/>
      <rgbColor rgb="009D0E2D"/>
      <rgbColor rgb="00FFDD7D"/>
      <rgbColor rgb="00AAA19A"/>
      <rgbColor rgb="0091867E"/>
    </indexedColors>
    <mruColors>
      <color rgb="FF008000"/>
      <color rgb="FF9D0E2D"/>
      <color rgb="FFF5F1EF"/>
      <color rgb="FFE3DFDB"/>
      <color rgb="FFB2C2D1"/>
      <color rgb="FF6AA94E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8"/>
  </sheetPr>
  <dimension ref="A1:B2"/>
  <sheetViews>
    <sheetView workbookViewId="0">
      <selection activeCell="B1" sqref="B1"/>
    </sheetView>
  </sheetViews>
  <sheetFormatPr defaultRowHeight="12.75"/>
  <sheetData>
    <row r="1" spans="1:2">
      <c r="B1" t="s">
        <v>0</v>
      </c>
    </row>
    <row r="2" spans="1:2"/>
  </sheetData>
  <phoneticPr fontId="1" type="noConversion"/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F42"/>
  <sheetViews>
    <sheetView showGridLines="0" tabSelected="1" zoomScale="115" zoomScaleNormal="115" workbookViewId="0"/>
  </sheetViews>
  <sheetFormatPr defaultRowHeight="12.75"/>
  <cols>
    <col min="1" max="1" width="2.7109375" style="2" customWidth="1"/>
    <col min="2" max="6" width="9.7109375" style="2" customWidth="1"/>
    <col min="7" max="16384" width="9.140625" style="2"/>
  </cols>
  <sheetData>
    <row r="2" spans="2:6" ht="15.75">
      <c r="B2" s="32" t="s">
        <v>71</v>
      </c>
    </row>
    <row r="3" spans="2:6" ht="13.5" thickBot="1">
      <c r="B3" s="12" t="s">
        <v>49</v>
      </c>
      <c r="C3" s="13"/>
      <c r="D3" s="14"/>
      <c r="E3" s="14"/>
      <c r="F3" s="14" t="s">
        <v>72</v>
      </c>
    </row>
    <row r="5" spans="2:6">
      <c r="B5" s="2" t="s">
        <v>68</v>
      </c>
      <c r="F5" s="73">
        <v>20</v>
      </c>
    </row>
    <row r="6" spans="2:6">
      <c r="B6" s="2" t="s">
        <v>69</v>
      </c>
      <c r="F6" s="73">
        <v>22</v>
      </c>
    </row>
    <row r="7" spans="2:6">
      <c r="F7" s="26"/>
    </row>
    <row r="8" spans="2:6">
      <c r="B8" s="2" t="s">
        <v>7</v>
      </c>
      <c r="F8" s="48">
        <v>5.5</v>
      </c>
    </row>
    <row r="9" spans="2:6">
      <c r="B9" s="3" t="s">
        <v>8</v>
      </c>
      <c r="F9" s="49">
        <v>4.5</v>
      </c>
    </row>
    <row r="10" spans="2:6">
      <c r="F10" s="26"/>
    </row>
    <row r="11" spans="2:6">
      <c r="B11" s="2" t="s">
        <v>43</v>
      </c>
      <c r="F11" s="50">
        <v>0.06</v>
      </c>
    </row>
    <row r="12" spans="2:6">
      <c r="B12" s="2" t="s">
        <v>2</v>
      </c>
      <c r="F12" s="50">
        <v>0.15</v>
      </c>
    </row>
    <row r="13" spans="2:6">
      <c r="F13" s="26"/>
    </row>
    <row r="14" spans="2:6">
      <c r="B14" s="1" t="s">
        <v>50</v>
      </c>
      <c r="F14" s="26"/>
    </row>
    <row r="15" spans="2:6">
      <c r="B15" s="2" t="s">
        <v>54</v>
      </c>
      <c r="F15" s="50">
        <v>0.15</v>
      </c>
    </row>
    <row r="16" spans="2:6">
      <c r="B16" s="2" t="s">
        <v>76</v>
      </c>
      <c r="F16" s="50">
        <v>1</v>
      </c>
    </row>
    <row r="17" spans="2:6">
      <c r="B17" s="2" t="s">
        <v>61</v>
      </c>
      <c r="F17" s="51">
        <v>1</v>
      </c>
    </row>
    <row r="18" spans="2:6">
      <c r="F18" s="51"/>
    </row>
    <row r="19" spans="2:6">
      <c r="B19" s="1" t="s">
        <v>78</v>
      </c>
      <c r="F19" s="51"/>
    </row>
    <row r="20" spans="2:6">
      <c r="B20" s="53" t="s">
        <v>75</v>
      </c>
      <c r="F20" s="29">
        <v>3.483E-2</v>
      </c>
    </row>
    <row r="21" spans="2:6">
      <c r="B21" s="53" t="s">
        <v>23</v>
      </c>
      <c r="F21" s="30">
        <v>3.0499999999999999E-2</v>
      </c>
    </row>
    <row r="22" spans="2:6">
      <c r="B22" s="53" t="s">
        <v>24</v>
      </c>
      <c r="F22" s="30">
        <v>2.5000000000000001E-2</v>
      </c>
    </row>
    <row r="23" spans="2:6">
      <c r="B23" s="53" t="s">
        <v>25</v>
      </c>
      <c r="F23" s="30">
        <v>0.1</v>
      </c>
    </row>
    <row r="24" spans="2:6">
      <c r="B24" s="53" t="s">
        <v>26</v>
      </c>
      <c r="F24" s="30">
        <v>0.7</v>
      </c>
    </row>
    <row r="25" spans="2:6">
      <c r="B25" s="53" t="s">
        <v>27</v>
      </c>
      <c r="F25" s="30">
        <v>3</v>
      </c>
    </row>
    <row r="26" spans="2:6">
      <c r="B26" s="53" t="s">
        <v>28</v>
      </c>
      <c r="F26" s="30">
        <v>1.5</v>
      </c>
    </row>
    <row r="27" spans="2:6">
      <c r="B27" s="53" t="s">
        <v>29</v>
      </c>
      <c r="F27" s="30">
        <v>0.11</v>
      </c>
    </row>
    <row r="28" spans="2:6" ht="5.0999999999999996" customHeight="1" thickBot="1">
      <c r="B28" s="23"/>
      <c r="C28" s="23"/>
      <c r="D28" s="23"/>
      <c r="E28" s="23"/>
      <c r="F28" s="23"/>
    </row>
    <row r="31" spans="2:6" ht="15.75">
      <c r="B31" s="32" t="s">
        <v>74</v>
      </c>
    </row>
    <row r="32" spans="2:6" ht="13.5" thickBot="1">
      <c r="B32" s="12" t="s">
        <v>49</v>
      </c>
      <c r="C32" s="13"/>
      <c r="D32" s="14"/>
      <c r="E32" s="14"/>
      <c r="F32" s="14" t="s">
        <v>72</v>
      </c>
    </row>
    <row r="34" spans="2:6">
      <c r="B34" s="53" t="s">
        <v>15</v>
      </c>
      <c r="F34" s="35">
        <v>20.3</v>
      </c>
    </row>
    <row r="35" spans="2:6">
      <c r="B35" s="53" t="s">
        <v>16</v>
      </c>
      <c r="F35" s="35">
        <v>26.1</v>
      </c>
    </row>
    <row r="37" spans="2:6">
      <c r="B37" s="2" t="s">
        <v>12</v>
      </c>
      <c r="F37" s="34">
        <v>20</v>
      </c>
    </row>
    <row r="38" spans="2:6">
      <c r="B38" s="2" t="s">
        <v>13</v>
      </c>
      <c r="F38" s="35">
        <v>2.9</v>
      </c>
    </row>
    <row r="40" spans="2:6">
      <c r="B40" s="2" t="s">
        <v>66</v>
      </c>
      <c r="F40" s="74">
        <v>70</v>
      </c>
    </row>
    <row r="41" spans="2:6">
      <c r="B41" s="2" t="s">
        <v>67</v>
      </c>
      <c r="F41" s="74">
        <v>95</v>
      </c>
    </row>
    <row r="42" spans="2:6" ht="5.0999999999999996" customHeight="1" thickBot="1">
      <c r="B42" s="23"/>
      <c r="C42" s="23"/>
      <c r="D42" s="23"/>
      <c r="E42" s="23"/>
      <c r="F42" s="23"/>
    </row>
  </sheetData>
  <dataValidations disablePrompts="1" count="1">
    <dataValidation type="whole" allowBlank="1" showErrorMessage="1" sqref="F17:F19">
      <formula1>0</formula1>
      <formula2>1</formula2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5"/>
  <sheetViews>
    <sheetView showGridLines="0" zoomScale="115" zoomScaleNormal="115" workbookViewId="0"/>
  </sheetViews>
  <sheetFormatPr defaultRowHeight="12.75"/>
  <cols>
    <col min="1" max="1" width="2.7109375" style="2" customWidth="1"/>
    <col min="2" max="11" width="9.7109375" style="2" customWidth="1"/>
    <col min="12" max="16384" width="9.140625" style="2"/>
  </cols>
  <sheetData>
    <row r="1" spans="1:11" ht="12.75" customHeight="1"/>
    <row r="2" spans="1:11" ht="15.75">
      <c r="B2" s="52" t="s">
        <v>77</v>
      </c>
      <c r="C2" s="33"/>
      <c r="D2" s="33"/>
      <c r="E2" s="33"/>
      <c r="F2" s="33"/>
      <c r="G2" s="33"/>
      <c r="H2" s="33"/>
      <c r="I2" s="33"/>
      <c r="J2" s="33"/>
      <c r="K2" s="33"/>
    </row>
    <row r="3" spans="1:11" ht="12.75" customHeight="1"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2.75" customHeight="1">
      <c r="B4" s="2" t="s">
        <v>12</v>
      </c>
      <c r="D4" s="56">
        <f>Assumptions!F37</f>
        <v>20</v>
      </c>
    </row>
    <row r="5" spans="1:11" ht="12.75" customHeight="1">
      <c r="B5" s="2" t="s">
        <v>13</v>
      </c>
      <c r="D5" s="55">
        <f>Assumptions!F38</f>
        <v>2.9</v>
      </c>
    </row>
    <row r="6" spans="1:11" ht="12.75" customHeight="1"/>
    <row r="7" spans="1:11" ht="12.75" customHeight="1">
      <c r="E7" s="11" t="s">
        <v>73</v>
      </c>
      <c r="F7" s="72"/>
      <c r="G7" s="72"/>
      <c r="H7" s="72"/>
      <c r="I7" s="72"/>
      <c r="J7" s="72"/>
      <c r="K7" s="72"/>
    </row>
    <row r="8" spans="1:11" s="31" customFormat="1" ht="13.5" customHeight="1" thickBot="1">
      <c r="A8" s="36">
        <v>1</v>
      </c>
      <c r="B8" s="12" t="s">
        <v>14</v>
      </c>
      <c r="C8" s="37"/>
      <c r="D8" s="37"/>
      <c r="E8" s="38">
        <v>18</v>
      </c>
      <c r="F8" s="38">
        <f>E8+1</f>
        <v>19</v>
      </c>
      <c r="G8" s="38">
        <f t="shared" ref="G8:K8" si="0">F8+1</f>
        <v>20</v>
      </c>
      <c r="H8" s="38">
        <f t="shared" si="0"/>
        <v>21</v>
      </c>
      <c r="I8" s="38">
        <f t="shared" si="0"/>
        <v>22</v>
      </c>
      <c r="J8" s="38">
        <f t="shared" si="0"/>
        <v>23</v>
      </c>
      <c r="K8" s="38">
        <f t="shared" si="0"/>
        <v>24</v>
      </c>
    </row>
    <row r="9" spans="1:11" ht="12.75" customHeight="1">
      <c r="A9" s="39">
        <f>A8+1</f>
        <v>2</v>
      </c>
      <c r="B9" s="3"/>
      <c r="C9" s="3"/>
      <c r="D9" s="3"/>
      <c r="E9" s="40"/>
      <c r="F9" s="40"/>
      <c r="G9" s="40"/>
      <c r="H9" s="40"/>
      <c r="I9" s="40"/>
      <c r="J9" s="40"/>
      <c r="K9" s="40"/>
    </row>
    <row r="10" spans="1:11" ht="12.75" customHeight="1">
      <c r="A10" s="39">
        <f t="shared" ref="A10:A14" si="1">A9+1</f>
        <v>3</v>
      </c>
      <c r="B10" s="54" t="str">
        <f>Assumptions!B34</f>
        <v>Class A common stock</v>
      </c>
      <c r="E10" s="55">
        <f>Assumptions!F34</f>
        <v>20.3</v>
      </c>
      <c r="F10" s="41">
        <f>E10</f>
        <v>20.3</v>
      </c>
      <c r="G10" s="41">
        <f t="shared" ref="G10:K11" si="2">F10</f>
        <v>20.3</v>
      </c>
      <c r="H10" s="42">
        <f t="shared" si="2"/>
        <v>20.3</v>
      </c>
      <c r="I10" s="42">
        <f t="shared" si="2"/>
        <v>20.3</v>
      </c>
      <c r="J10" s="42">
        <f t="shared" si="2"/>
        <v>20.3</v>
      </c>
      <c r="K10" s="41">
        <f t="shared" si="2"/>
        <v>20.3</v>
      </c>
    </row>
    <row r="11" spans="1:11" ht="12.75" customHeight="1">
      <c r="A11" s="39">
        <f t="shared" si="1"/>
        <v>4</v>
      </c>
      <c r="B11" s="54" t="str">
        <f>Assumptions!B35</f>
        <v>Class B common stock</v>
      </c>
      <c r="E11" s="55">
        <f>Assumptions!F35</f>
        <v>26.1</v>
      </c>
      <c r="F11" s="41">
        <f>E11</f>
        <v>26.1</v>
      </c>
      <c r="G11" s="41">
        <f t="shared" si="2"/>
        <v>26.1</v>
      </c>
      <c r="H11" s="42">
        <f t="shared" si="2"/>
        <v>26.1</v>
      </c>
      <c r="I11" s="42">
        <f t="shared" si="2"/>
        <v>26.1</v>
      </c>
      <c r="J11" s="42">
        <f t="shared" si="2"/>
        <v>26.1</v>
      </c>
      <c r="K11" s="41">
        <f t="shared" si="2"/>
        <v>26.1</v>
      </c>
    </row>
    <row r="12" spans="1:11" ht="12.75" customHeight="1">
      <c r="A12" s="39">
        <f t="shared" si="1"/>
        <v>5</v>
      </c>
      <c r="B12" s="43" t="s">
        <v>17</v>
      </c>
      <c r="C12" s="43"/>
      <c r="D12" s="43"/>
      <c r="E12" s="44">
        <f>SUM(E10:E11)</f>
        <v>46.400000000000006</v>
      </c>
      <c r="F12" s="44">
        <f t="shared" ref="F12:K12" si="3">SUM(F10:F11)</f>
        <v>46.400000000000006</v>
      </c>
      <c r="G12" s="44">
        <f t="shared" si="3"/>
        <v>46.400000000000006</v>
      </c>
      <c r="H12" s="45">
        <f t="shared" si="3"/>
        <v>46.400000000000006</v>
      </c>
      <c r="I12" s="45">
        <f t="shared" si="3"/>
        <v>46.400000000000006</v>
      </c>
      <c r="J12" s="45">
        <f t="shared" si="3"/>
        <v>46.400000000000006</v>
      </c>
      <c r="K12" s="44">
        <f t="shared" si="3"/>
        <v>46.400000000000006</v>
      </c>
    </row>
    <row r="13" spans="1:11" ht="12.75" customHeight="1">
      <c r="A13" s="39">
        <f t="shared" si="1"/>
        <v>6</v>
      </c>
      <c r="B13" s="33" t="s">
        <v>18</v>
      </c>
      <c r="E13" s="41">
        <f t="shared" ref="E13:K13" si="4">IF($D$4&lt;E8,$D$5-$D$5*$D$4/E8,0)</f>
        <v>0</v>
      </c>
      <c r="F13" s="41">
        <f t="shared" si="4"/>
        <v>0</v>
      </c>
      <c r="G13" s="41">
        <f t="shared" si="4"/>
        <v>0</v>
      </c>
      <c r="H13" s="41">
        <f t="shared" si="4"/>
        <v>0.13809523809523805</v>
      </c>
      <c r="I13" s="41">
        <f t="shared" si="4"/>
        <v>0.26363636363636367</v>
      </c>
      <c r="J13" s="41">
        <f t="shared" si="4"/>
        <v>0.37826086956521721</v>
      </c>
      <c r="K13" s="41">
        <f t="shared" si="4"/>
        <v>0.48333333333333339</v>
      </c>
    </row>
    <row r="14" spans="1:11" s="31" customFormat="1" ht="12.75" customHeight="1">
      <c r="A14" s="39">
        <f t="shared" si="1"/>
        <v>7</v>
      </c>
      <c r="B14" s="46" t="s">
        <v>31</v>
      </c>
      <c r="C14" s="46"/>
      <c r="D14" s="46"/>
      <c r="E14" s="47">
        <f t="shared" ref="E14:K14" si="5">SUM(E12:E13)</f>
        <v>46.400000000000006</v>
      </c>
      <c r="F14" s="47">
        <f t="shared" si="5"/>
        <v>46.400000000000006</v>
      </c>
      <c r="G14" s="47">
        <f t="shared" si="5"/>
        <v>46.400000000000006</v>
      </c>
      <c r="H14" s="47">
        <f t="shared" si="5"/>
        <v>46.538095238095245</v>
      </c>
      <c r="I14" s="47">
        <f t="shared" si="5"/>
        <v>46.663636363636371</v>
      </c>
      <c r="J14" s="47">
        <f t="shared" si="5"/>
        <v>46.778260869565223</v>
      </c>
      <c r="K14" s="47">
        <f t="shared" si="5"/>
        <v>46.88333333333334</v>
      </c>
    </row>
    <row r="15" spans="1:11" ht="5.0999999999999996" customHeight="1" thickBot="1">
      <c r="B15" s="23"/>
      <c r="C15" s="23"/>
      <c r="D15" s="23"/>
      <c r="E15" s="23"/>
      <c r="F15" s="23"/>
      <c r="G15" s="23"/>
      <c r="H15" s="23"/>
      <c r="I15" s="23"/>
      <c r="J15" s="23"/>
      <c r="K15" s="23"/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69"/>
  <sheetViews>
    <sheetView showGridLines="0" zoomScale="115" zoomScaleNormal="115" workbookViewId="0"/>
  </sheetViews>
  <sheetFormatPr defaultRowHeight="12.75"/>
  <cols>
    <col min="1" max="1" width="2.7109375" style="2" customWidth="1"/>
    <col min="2" max="8" width="10.7109375" style="2" customWidth="1"/>
    <col min="9" max="16384" width="9.140625" style="2"/>
  </cols>
  <sheetData>
    <row r="2" spans="2:8" ht="15.75">
      <c r="B2" s="32" t="s">
        <v>70</v>
      </c>
    </row>
    <row r="3" spans="2:8" s="68" customFormat="1" ht="12.75" customHeight="1">
      <c r="F3" s="11" t="s">
        <v>33</v>
      </c>
      <c r="G3" s="72"/>
      <c r="H3" s="72"/>
    </row>
    <row r="4" spans="2:8" s="68" customFormat="1" ht="13.5" customHeight="1" thickBot="1">
      <c r="B4" s="12" t="s">
        <v>49</v>
      </c>
      <c r="C4" s="69"/>
      <c r="D4" s="69"/>
      <c r="E4" s="69"/>
      <c r="F4" s="14" t="s">
        <v>21</v>
      </c>
      <c r="G4" s="14" t="s">
        <v>22</v>
      </c>
      <c r="H4" s="14" t="s">
        <v>20</v>
      </c>
    </row>
    <row r="6" spans="2:8" s="68" customFormat="1">
      <c r="B6" s="68" t="s">
        <v>34</v>
      </c>
      <c r="F6" s="70">
        <f>Assumptions!F5</f>
        <v>20</v>
      </c>
      <c r="G6" s="71">
        <f>AVERAGE(F6,H6)</f>
        <v>21</v>
      </c>
      <c r="H6" s="70">
        <f>Assumptions!F6</f>
        <v>22</v>
      </c>
    </row>
    <row r="8" spans="2:8">
      <c r="B8" s="21" t="s">
        <v>19</v>
      </c>
      <c r="C8" s="19"/>
      <c r="D8" s="19"/>
      <c r="E8" s="19"/>
      <c r="F8" s="19"/>
      <c r="G8" s="19"/>
      <c r="H8" s="20"/>
    </row>
    <row r="9" spans="2:8" ht="5.0999999999999996" customHeight="1"/>
    <row r="10" spans="2:8">
      <c r="B10" s="1" t="s">
        <v>42</v>
      </c>
    </row>
    <row r="11" spans="2:8">
      <c r="B11" s="2" t="s">
        <v>7</v>
      </c>
      <c r="F11" s="57">
        <f>Assumptions!$F8</f>
        <v>5.5</v>
      </c>
      <c r="G11" s="57">
        <f>Assumptions!$F8</f>
        <v>5.5</v>
      </c>
      <c r="H11" s="57">
        <f>Assumptions!$F8</f>
        <v>5.5</v>
      </c>
    </row>
    <row r="12" spans="2:8">
      <c r="B12" s="3" t="s">
        <v>8</v>
      </c>
      <c r="C12" s="3"/>
      <c r="D12" s="3"/>
      <c r="E12" s="3"/>
      <c r="F12" s="57">
        <f>Assumptions!$F9</f>
        <v>4.5</v>
      </c>
      <c r="G12" s="57">
        <f>Assumptions!$F9</f>
        <v>4.5</v>
      </c>
      <c r="H12" s="57">
        <f>Assumptions!$F9</f>
        <v>4.5</v>
      </c>
    </row>
    <row r="13" spans="2:8">
      <c r="B13" s="6" t="s">
        <v>51</v>
      </c>
      <c r="C13" s="6"/>
      <c r="D13" s="6"/>
      <c r="E13" s="6"/>
      <c r="F13" s="5">
        <f>SUM(F11:F12)</f>
        <v>10</v>
      </c>
      <c r="G13" s="5">
        <f t="shared" ref="G13:H13" si="0">SUM(G11:G12)</f>
        <v>10</v>
      </c>
      <c r="H13" s="5">
        <f t="shared" si="0"/>
        <v>10</v>
      </c>
    </row>
    <row r="14" spans="2:8">
      <c r="B14" s="3" t="s">
        <v>52</v>
      </c>
      <c r="C14" s="3"/>
      <c r="D14" s="3"/>
      <c r="E14" s="3"/>
      <c r="F14" s="57">
        <f>F13*Assumptions!$F$15*Assumptions!$F$16*Assumptions!$F$17</f>
        <v>1.5</v>
      </c>
      <c r="G14" s="57">
        <f>G13*Assumptions!$F$15*Assumptions!$F$16*Assumptions!$F$17</f>
        <v>1.5</v>
      </c>
      <c r="H14" s="57">
        <f>H13*Assumptions!$F$15*Assumptions!$F$16*Assumptions!$F$17</f>
        <v>1.5</v>
      </c>
    </row>
    <row r="15" spans="2:8">
      <c r="B15" s="3" t="s">
        <v>53</v>
      </c>
      <c r="C15" s="3"/>
      <c r="D15" s="3"/>
      <c r="E15" s="3"/>
      <c r="F15" s="57">
        <f>F13*Assumptions!$F$15*(1-Assumptions!$F$16)*Assumptions!$F$17</f>
        <v>0</v>
      </c>
      <c r="G15" s="57">
        <f>G13*Assumptions!$F$15*(1-Assumptions!$F$16)*Assumptions!$F$17</f>
        <v>0</v>
      </c>
      <c r="H15" s="57">
        <f>H13*Assumptions!$F$15*(1-Assumptions!$F$16)*Assumptions!$F$17</f>
        <v>0</v>
      </c>
    </row>
    <row r="16" spans="2:8">
      <c r="B16" s="24" t="s">
        <v>65</v>
      </c>
      <c r="C16" s="24"/>
      <c r="D16" s="24"/>
      <c r="E16" s="24"/>
      <c r="F16" s="25">
        <f>SUM(F14:F15)</f>
        <v>1.5</v>
      </c>
      <c r="G16" s="25">
        <f t="shared" ref="G16:H16" si="1">SUM(G14:G15)</f>
        <v>1.5</v>
      </c>
      <c r="H16" s="25">
        <f t="shared" si="1"/>
        <v>1.5</v>
      </c>
    </row>
    <row r="17" spans="2:8">
      <c r="B17" s="4" t="s">
        <v>9</v>
      </c>
      <c r="C17" s="4"/>
      <c r="D17" s="4"/>
      <c r="E17" s="4"/>
      <c r="F17" s="5">
        <f>F16+F13</f>
        <v>11.5</v>
      </c>
      <c r="G17" s="5">
        <f t="shared" ref="G17:H17" si="2">G16+G13</f>
        <v>11.5</v>
      </c>
      <c r="H17" s="5">
        <f t="shared" si="2"/>
        <v>11.5</v>
      </c>
    </row>
    <row r="19" spans="2:8" ht="12.75" customHeight="1">
      <c r="B19" s="1" t="s">
        <v>48</v>
      </c>
    </row>
    <row r="20" spans="2:8" ht="12.75" customHeight="1">
      <c r="B20" s="2" t="s">
        <v>59</v>
      </c>
      <c r="F20" s="57">
        <f>HLOOKUP(F$6,FDSO!$E$8:$K$14,FDSO!$A$14,FALSE)</f>
        <v>46.400000000000006</v>
      </c>
      <c r="G20" s="57">
        <f>HLOOKUP(G$6,FDSO!$E$8:$K$14,FDSO!$A$14,FALSE)</f>
        <v>46.538095238095245</v>
      </c>
      <c r="H20" s="57">
        <f>HLOOKUP(H$6,FDSO!$E$8:$K$14,FDSO!$A$14,FALSE)</f>
        <v>46.663636363636371</v>
      </c>
    </row>
    <row r="21" spans="2:8">
      <c r="B21" s="2" t="s">
        <v>3</v>
      </c>
      <c r="F21" s="18">
        <f>F11+F14</f>
        <v>7</v>
      </c>
      <c r="G21" s="18">
        <f>G11+G14</f>
        <v>7</v>
      </c>
      <c r="H21" s="18">
        <f>H11+H14</f>
        <v>7</v>
      </c>
    </row>
    <row r="22" spans="2:8">
      <c r="B22" s="6" t="s">
        <v>60</v>
      </c>
      <c r="C22" s="6"/>
      <c r="D22" s="6"/>
      <c r="E22" s="6"/>
      <c r="F22" s="22">
        <f>SUM(F20:F21)</f>
        <v>53.400000000000006</v>
      </c>
      <c r="G22" s="22">
        <f t="shared" ref="G22:H22" si="3">SUM(G20:G21)</f>
        <v>53.538095238095245</v>
      </c>
      <c r="H22" s="22">
        <f t="shared" si="3"/>
        <v>53.663636363636371</v>
      </c>
    </row>
    <row r="24" spans="2:8">
      <c r="B24" s="21" t="s">
        <v>62</v>
      </c>
      <c r="C24" s="19"/>
      <c r="D24" s="19"/>
      <c r="E24" s="19"/>
      <c r="F24" s="19"/>
      <c r="G24" s="19"/>
      <c r="H24" s="20"/>
    </row>
    <row r="25" spans="2:8" ht="5.0999999999999996" customHeight="1"/>
    <row r="26" spans="2:8">
      <c r="B26" s="2" t="s">
        <v>63</v>
      </c>
      <c r="F26" s="63">
        <f>F13*F6</f>
        <v>200</v>
      </c>
      <c r="G26" s="63">
        <f t="shared" ref="G26:H26" si="4">G13*G6</f>
        <v>210</v>
      </c>
      <c r="H26" s="63">
        <f t="shared" si="4"/>
        <v>220</v>
      </c>
    </row>
    <row r="27" spans="2:8">
      <c r="B27" s="2" t="s">
        <v>64</v>
      </c>
      <c r="F27" s="10">
        <f>F16*F6</f>
        <v>30</v>
      </c>
      <c r="G27" s="10">
        <f t="shared" ref="G27:H27" si="5">G16*G6</f>
        <v>31.5</v>
      </c>
      <c r="H27" s="10">
        <f t="shared" si="5"/>
        <v>33</v>
      </c>
    </row>
    <row r="28" spans="2:8">
      <c r="B28" s="27" t="s">
        <v>35</v>
      </c>
      <c r="C28" s="27"/>
      <c r="D28" s="27"/>
      <c r="E28" s="27"/>
      <c r="F28" s="28">
        <f>SUM(F26:F27)</f>
        <v>230</v>
      </c>
      <c r="G28" s="28">
        <f t="shared" ref="G28:H28" si="6">SUM(G26:G27)</f>
        <v>241.5</v>
      </c>
      <c r="H28" s="28">
        <f t="shared" si="6"/>
        <v>253</v>
      </c>
    </row>
    <row r="30" spans="2:8">
      <c r="B30" s="21" t="s">
        <v>44</v>
      </c>
      <c r="C30" s="19"/>
      <c r="D30" s="19"/>
      <c r="E30" s="19"/>
      <c r="F30" s="19"/>
      <c r="G30" s="19"/>
      <c r="H30" s="20"/>
    </row>
    <row r="31" spans="2:8" ht="5.0999999999999996" customHeight="1"/>
    <row r="32" spans="2:8">
      <c r="B32" s="1" t="s">
        <v>41</v>
      </c>
    </row>
    <row r="33" spans="2:8">
      <c r="B33" s="2" t="s">
        <v>37</v>
      </c>
      <c r="F33" s="71">
        <f>F6</f>
        <v>20</v>
      </c>
      <c r="G33" s="71">
        <f>G6</f>
        <v>21</v>
      </c>
      <c r="H33" s="71">
        <f>H6</f>
        <v>22</v>
      </c>
    </row>
    <row r="34" spans="2:8">
      <c r="B34" s="2" t="str">
        <f>"( – ) Underwriting discount ("&amp;TEXT(Assumptions!F11,"0.0%")&amp;")"</f>
        <v>( – ) Underwriting discount (6.0%)</v>
      </c>
      <c r="F34" s="58">
        <f>-Assumptions!$F$11*F33</f>
        <v>-1.2</v>
      </c>
      <c r="G34" s="58">
        <f>-Assumptions!$F$11*G33</f>
        <v>-1.26</v>
      </c>
      <c r="H34" s="58">
        <f>-Assumptions!$F$11*H33</f>
        <v>-1.3199999999999998</v>
      </c>
    </row>
    <row r="35" spans="2:8">
      <c r="B35" s="6" t="s">
        <v>39</v>
      </c>
      <c r="C35" s="6"/>
      <c r="D35" s="6"/>
      <c r="E35" s="6"/>
      <c r="F35" s="7">
        <f>SUM(F33:F34)</f>
        <v>18.8</v>
      </c>
      <c r="G35" s="7">
        <f t="shared" ref="G35:H35" si="7">SUM(G33:G34)</f>
        <v>19.739999999999998</v>
      </c>
      <c r="H35" s="7">
        <f t="shared" si="7"/>
        <v>20.68</v>
      </c>
    </row>
    <row r="37" spans="2:8">
      <c r="B37" s="1" t="s">
        <v>40</v>
      </c>
    </row>
    <row r="38" spans="2:8">
      <c r="B38" s="54" t="str">
        <f>Assumptions!B20</f>
        <v>SEC registration fee</v>
      </c>
      <c r="F38" s="59">
        <f>Assumptions!F20</f>
        <v>3.483E-2</v>
      </c>
      <c r="G38" s="15">
        <f>F38</f>
        <v>3.483E-2</v>
      </c>
      <c r="H38" s="15">
        <f>G38</f>
        <v>3.483E-2</v>
      </c>
    </row>
    <row r="39" spans="2:8">
      <c r="B39" s="54" t="str">
        <f>Assumptions!B21</f>
        <v>FINRA Filing fee</v>
      </c>
      <c r="F39" s="60">
        <f>Assumptions!F21</f>
        <v>3.0499999999999999E-2</v>
      </c>
      <c r="G39" s="16">
        <f t="shared" ref="G39:H45" si="8">F39</f>
        <v>3.0499999999999999E-2</v>
      </c>
      <c r="H39" s="16">
        <f t="shared" si="8"/>
        <v>3.0499999999999999E-2</v>
      </c>
    </row>
    <row r="40" spans="2:8">
      <c r="B40" s="54" t="str">
        <f>Assumptions!B22</f>
        <v>Nasdaq listing fees and expenses</v>
      </c>
      <c r="F40" s="60">
        <f>Assumptions!F22</f>
        <v>2.5000000000000001E-2</v>
      </c>
      <c r="G40" s="16">
        <f t="shared" si="8"/>
        <v>2.5000000000000001E-2</v>
      </c>
      <c r="H40" s="16">
        <f t="shared" si="8"/>
        <v>2.5000000000000001E-2</v>
      </c>
    </row>
    <row r="41" spans="2:8">
      <c r="B41" s="54" t="str">
        <f>Assumptions!B23</f>
        <v>Transfer agent and registrar fees and expenses</v>
      </c>
      <c r="F41" s="60">
        <f>Assumptions!F23</f>
        <v>0.1</v>
      </c>
      <c r="G41" s="16">
        <f t="shared" si="8"/>
        <v>0.1</v>
      </c>
      <c r="H41" s="16">
        <f t="shared" si="8"/>
        <v>0.1</v>
      </c>
    </row>
    <row r="42" spans="2:8">
      <c r="B42" s="54" t="str">
        <f>Assumptions!B24</f>
        <v>Printing fees and expenses</v>
      </c>
      <c r="F42" s="60">
        <f>Assumptions!F24</f>
        <v>0.7</v>
      </c>
      <c r="G42" s="16">
        <f t="shared" si="8"/>
        <v>0.7</v>
      </c>
      <c r="H42" s="16">
        <f t="shared" si="8"/>
        <v>0.7</v>
      </c>
    </row>
    <row r="43" spans="2:8">
      <c r="B43" s="54" t="str">
        <f>Assumptions!B25</f>
        <v>Legal fees and expenses</v>
      </c>
      <c r="F43" s="60">
        <f>Assumptions!F25</f>
        <v>3</v>
      </c>
      <c r="G43" s="16">
        <f t="shared" si="8"/>
        <v>3</v>
      </c>
      <c r="H43" s="16">
        <f t="shared" si="8"/>
        <v>3</v>
      </c>
    </row>
    <row r="44" spans="2:8">
      <c r="B44" s="54" t="str">
        <f>Assumptions!B26</f>
        <v>Accounting fees and expenses</v>
      </c>
      <c r="F44" s="60">
        <f>Assumptions!F26</f>
        <v>1.5</v>
      </c>
      <c r="G44" s="16">
        <f t="shared" si="8"/>
        <v>1.5</v>
      </c>
      <c r="H44" s="16">
        <f t="shared" si="8"/>
        <v>1.5</v>
      </c>
    </row>
    <row r="45" spans="2:8">
      <c r="B45" s="54" t="str">
        <f>Assumptions!B27</f>
        <v>Miscellaneous</v>
      </c>
      <c r="F45" s="60">
        <f>Assumptions!F27</f>
        <v>0.11</v>
      </c>
      <c r="G45" s="16">
        <f t="shared" si="8"/>
        <v>0.11</v>
      </c>
      <c r="H45" s="16">
        <f t="shared" si="8"/>
        <v>0.11</v>
      </c>
    </row>
    <row r="46" spans="2:8">
      <c r="B46" s="6" t="s">
        <v>30</v>
      </c>
      <c r="C46" s="6"/>
      <c r="D46" s="6"/>
      <c r="E46" s="6"/>
      <c r="F46" s="8">
        <f>SUM(F38:F45)</f>
        <v>5.5003300000000008</v>
      </c>
      <c r="G46" s="17">
        <f t="shared" ref="G46:H46" si="9">SUM(G38:G45)</f>
        <v>5.5003300000000008</v>
      </c>
      <c r="H46" s="17">
        <f t="shared" si="9"/>
        <v>5.5003300000000008</v>
      </c>
    </row>
    <row r="48" spans="2:8">
      <c r="B48" s="21" t="s">
        <v>46</v>
      </c>
      <c r="C48" s="19"/>
      <c r="D48" s="19"/>
      <c r="E48" s="19"/>
      <c r="F48" s="19"/>
      <c r="G48" s="19"/>
      <c r="H48" s="20"/>
    </row>
    <row r="49" spans="2:8" ht="5.0999999999999996" customHeight="1"/>
    <row r="50" spans="2:8">
      <c r="B50" s="2" t="s">
        <v>10</v>
      </c>
      <c r="F50" s="9">
        <f>F33*F21</f>
        <v>140</v>
      </c>
      <c r="G50" s="9">
        <f t="shared" ref="G50:H50" si="10">G33*G21</f>
        <v>147</v>
      </c>
      <c r="H50" s="9">
        <f t="shared" si="10"/>
        <v>154</v>
      </c>
    </row>
    <row r="51" spans="2:8">
      <c r="B51" s="2" t="s">
        <v>38</v>
      </c>
      <c r="F51" s="10">
        <f>F34*F21</f>
        <v>-8.4</v>
      </c>
      <c r="G51" s="10">
        <f t="shared" ref="G51:H51" si="11">G34*G21</f>
        <v>-8.82</v>
      </c>
      <c r="H51" s="10">
        <f t="shared" si="11"/>
        <v>-9.2399999999999984</v>
      </c>
    </row>
    <row r="52" spans="2:8">
      <c r="B52" s="2" t="s">
        <v>36</v>
      </c>
      <c r="F52" s="10">
        <f>-F46</f>
        <v>-5.5003300000000008</v>
      </c>
      <c r="G52" s="10">
        <f>-G46</f>
        <v>-5.5003300000000008</v>
      </c>
      <c r="H52" s="10">
        <f>-H46</f>
        <v>-5.5003300000000008</v>
      </c>
    </row>
    <row r="53" spans="2:8">
      <c r="B53" s="6" t="s">
        <v>11</v>
      </c>
      <c r="C53" s="6"/>
      <c r="D53" s="6"/>
      <c r="E53" s="6"/>
      <c r="F53" s="8">
        <f>SUM(F50:F52)</f>
        <v>126.09966999999999</v>
      </c>
      <c r="G53" s="8">
        <f t="shared" ref="G53:H53" si="12">SUM(G50:G52)</f>
        <v>132.67967000000002</v>
      </c>
      <c r="H53" s="8">
        <f t="shared" si="12"/>
        <v>139.25967</v>
      </c>
    </row>
    <row r="54" spans="2:8">
      <c r="B54" s="1"/>
    </row>
    <row r="55" spans="2:8">
      <c r="B55" s="21" t="s">
        <v>45</v>
      </c>
      <c r="C55" s="19"/>
      <c r="D55" s="19"/>
      <c r="E55" s="19"/>
      <c r="F55" s="19"/>
      <c r="G55" s="19"/>
      <c r="H55" s="20"/>
    </row>
    <row r="56" spans="2:8" ht="5.0999999999999996" customHeight="1">
      <c r="B56" s="1"/>
    </row>
    <row r="57" spans="2:8">
      <c r="B57" s="1" t="s">
        <v>47</v>
      </c>
    </row>
    <row r="58" spans="2:8">
      <c r="B58" s="2" t="s">
        <v>1</v>
      </c>
      <c r="F58" s="63">
        <f>F22*F6</f>
        <v>1068</v>
      </c>
      <c r="G58" s="63">
        <f>G22*G6</f>
        <v>1124.3000000000002</v>
      </c>
      <c r="H58" s="63">
        <f>H22*H6</f>
        <v>1180.6000000000001</v>
      </c>
    </row>
    <row r="59" spans="2:8">
      <c r="B59" s="2" t="s">
        <v>4</v>
      </c>
      <c r="F59" s="10">
        <f>F60-F58</f>
        <v>160.19999999999982</v>
      </c>
      <c r="G59" s="10">
        <f>G60-G58</f>
        <v>168.64499999999998</v>
      </c>
      <c r="H59" s="10">
        <f>H60-H58</f>
        <v>177.08999999999992</v>
      </c>
    </row>
    <row r="60" spans="2:8">
      <c r="B60" s="27" t="s">
        <v>32</v>
      </c>
      <c r="C60" s="27"/>
      <c r="D60" s="27"/>
      <c r="E60" s="27"/>
      <c r="F60" s="61">
        <f>F58*(1+Assumptions!$F$12)</f>
        <v>1228.1999999999998</v>
      </c>
      <c r="G60" s="61">
        <f>G58*(1+Assumptions!$F$12)</f>
        <v>1292.9450000000002</v>
      </c>
      <c r="H60" s="61">
        <f>H58*(1+Assumptions!$F$12)</f>
        <v>1357.69</v>
      </c>
    </row>
    <row r="61" spans="2:8">
      <c r="B61" s="3"/>
      <c r="C61" s="3"/>
      <c r="D61" s="3"/>
      <c r="E61" s="3"/>
    </row>
    <row r="62" spans="2:8" s="65" customFormat="1">
      <c r="B62" s="1" t="s">
        <v>5</v>
      </c>
      <c r="C62" s="64"/>
      <c r="F62" s="62">
        <f>Assumptions!$F$40</f>
        <v>70</v>
      </c>
      <c r="G62" s="63">
        <f>F62</f>
        <v>70</v>
      </c>
      <c r="H62" s="63">
        <f>G62</f>
        <v>70</v>
      </c>
    </row>
    <row r="63" spans="2:8" s="65" customFormat="1">
      <c r="B63" s="26" t="s">
        <v>55</v>
      </c>
      <c r="C63" s="66"/>
      <c r="D63" s="66"/>
      <c r="E63" s="66"/>
      <c r="F63" s="67">
        <f>F58/F$62</f>
        <v>15.257142857142858</v>
      </c>
      <c r="G63" s="67">
        <f t="shared" ref="G63:H63" si="13">G58/G$62</f>
        <v>16.061428571428575</v>
      </c>
      <c r="H63" s="67">
        <f t="shared" si="13"/>
        <v>16.865714285714287</v>
      </c>
    </row>
    <row r="64" spans="2:8" s="65" customFormat="1">
      <c r="B64" s="26" t="s">
        <v>56</v>
      </c>
      <c r="C64" s="66"/>
      <c r="D64" s="66"/>
      <c r="E64" s="66"/>
      <c r="F64" s="67">
        <f>F60/F$62</f>
        <v>17.545714285714283</v>
      </c>
      <c r="G64" s="67">
        <f t="shared" ref="G64:H64" si="14">G60/G$62</f>
        <v>18.47064285714286</v>
      </c>
      <c r="H64" s="67">
        <f t="shared" si="14"/>
        <v>19.395571428571429</v>
      </c>
    </row>
    <row r="65" spans="2:8" s="65" customFormat="1"/>
    <row r="66" spans="2:8" s="65" customFormat="1">
      <c r="B66" s="1" t="s">
        <v>6</v>
      </c>
      <c r="C66" s="64"/>
      <c r="F66" s="62">
        <f>Assumptions!$F$41</f>
        <v>95</v>
      </c>
      <c r="G66" s="63">
        <f>F66</f>
        <v>95</v>
      </c>
      <c r="H66" s="63">
        <f>G66</f>
        <v>95</v>
      </c>
    </row>
    <row r="67" spans="2:8" s="65" customFormat="1">
      <c r="B67" s="26" t="s">
        <v>57</v>
      </c>
      <c r="C67" s="66"/>
      <c r="D67" s="66"/>
      <c r="E67" s="66"/>
      <c r="F67" s="67">
        <f>F58/F$66</f>
        <v>11.242105263157894</v>
      </c>
      <c r="G67" s="67">
        <f t="shared" ref="G67:H67" si="15">G58/G$66</f>
        <v>11.834736842105265</v>
      </c>
      <c r="H67" s="67">
        <f t="shared" si="15"/>
        <v>12.427368421052632</v>
      </c>
    </row>
    <row r="68" spans="2:8" s="65" customFormat="1">
      <c r="B68" s="26" t="s">
        <v>58</v>
      </c>
      <c r="C68" s="66"/>
      <c r="D68" s="66"/>
      <c r="E68" s="66"/>
      <c r="F68" s="67">
        <f>F60/F$66</f>
        <v>12.928421052631577</v>
      </c>
      <c r="G68" s="67">
        <f t="shared" ref="G68:H68" si="16">G60/G$66</f>
        <v>13.609947368421054</v>
      </c>
      <c r="H68" s="67">
        <f t="shared" si="16"/>
        <v>14.291473684210526</v>
      </c>
    </row>
    <row r="69" spans="2:8" ht="5.0999999999999996" customHeight="1" thickBot="1">
      <c r="B69" s="23"/>
      <c r="C69" s="23"/>
      <c r="D69" s="23"/>
      <c r="E69" s="23"/>
      <c r="F69" s="23"/>
      <c r="G69" s="23"/>
      <c r="H69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FDSO</vt:lpstr>
      <vt:lpstr>IPO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2012-09-09T15:50:55Z</cp:lastPrinted>
  <dcterms:created xsi:type="dcterms:W3CDTF">2006-07-31T19:33:36Z</dcterms:created>
  <dcterms:modified xsi:type="dcterms:W3CDTF">2015-05-04T17:12:51Z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izardMode">
    <vt:lpwstr>0</vt:lpwstr>
  </property>
  <property fmtid="{D5CDD505-2E9C-101B-9397-08002B2CF9AE}" pid="3" name="FDSMenuDocLevelBtnStates">
    <vt:lpwstr>&lt;btnStates&gt;&lt;btn tag="1001" state="UP"/&gt;&lt;/btnStates&gt;_x000d_
</vt:lpwstr>
  </property>
  <property fmtid="{D5CDD505-2E9C-101B-9397-08002B2CF9AE}" pid="4" name="&lt;tags1&gt;">
    <vt:lpwstr>&lt;tags&gt;&lt;tag n="AppId" v="1" /&gt;&lt;tag n="Type" v="0" /&gt;&lt;tag n="File" v="Worksheet in CBF Roadshow v132.pptx" /&gt;&lt;tag n="SourceSheet" v="Chart" /&gt;&lt;tag n="HostId" v="3" /&gt;&lt;tag n="HostDoc" v="CBF Sales Force Presentation v36.pptx" /&gt;&lt;tag n="HostDocFull" v="\\nmum</vt:lpwstr>
  </property>
  <property fmtid="{D5CDD505-2E9C-101B-9397-08002B2CF9AE}" pid="5" name="&lt;tags2&gt;">
    <vt:lpwstr>11p20110a\IBDKPOPtech$\Mumbai Pres Tech\Jobs\Client Code\NGJE\X66NR\Formatting - Thu Lai\CBF Sales Force Presentation v36.pptx" /&gt;&lt;tag n="Slide" v="8" /&gt;&lt;tag n="Shape" v="Object 3" /&gt;&lt;tag n="Top" v="113.7675" /&gt;&lt;tag n="Left" v="36" /&gt;&lt;tag n="Height" v="34</vt:lpwstr>
  </property>
  <property fmtid="{D5CDD505-2E9C-101B-9397-08002B2CF9AE}" pid="6" name="&lt;tags3&gt;">
    <vt:lpwstr>7.25" /&gt;&lt;tag n="Width" v="353.25" /&gt;&lt;tag n="TimeStamp" v="2012-09-05 09:45:02" /&gt;&lt;tag n="IsOpening" v="False" /&gt;&lt;/tags&gt;</vt:lpwstr>
  </property>
</Properties>
</file>